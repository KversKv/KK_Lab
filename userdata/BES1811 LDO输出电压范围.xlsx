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Project\TRAE_Projects\KK_Lab\userdata\"/>
    </mc:Choice>
  </mc:AlternateContent>
  <xr:revisionPtr revIDLastSave="0" documentId="13_ncr:1_{59728884-78B4-485A-A212-4246D5868D34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LDO_01~08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10" i="2" l="1"/>
  <c r="BC11" i="2"/>
  <c r="BC12" i="2"/>
  <c r="BC13" i="2"/>
  <c r="BC40" i="2" s="1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9" i="2"/>
  <c r="AY9" i="2"/>
  <c r="BS26" i="2"/>
  <c r="BK26" i="2"/>
  <c r="BS25" i="2"/>
  <c r="BO25" i="2"/>
  <c r="BK25" i="2"/>
  <c r="BG25" i="2"/>
  <c r="BS24" i="2"/>
  <c r="BO24" i="2"/>
  <c r="BK24" i="2"/>
  <c r="BG24" i="2"/>
  <c r="BS23" i="2"/>
  <c r="BO23" i="2"/>
  <c r="BK23" i="2"/>
  <c r="BG23" i="2"/>
  <c r="BS22" i="2"/>
  <c r="BO22" i="2"/>
  <c r="BK22" i="2"/>
  <c r="BG22" i="2"/>
  <c r="BS21" i="2"/>
  <c r="BO21" i="2"/>
  <c r="BK21" i="2"/>
  <c r="BG21" i="2"/>
  <c r="BS20" i="2"/>
  <c r="BO20" i="2"/>
  <c r="BK20" i="2"/>
  <c r="BG20" i="2"/>
  <c r="BS19" i="2"/>
  <c r="BO19" i="2"/>
  <c r="BK19" i="2"/>
  <c r="BG19" i="2"/>
  <c r="BS18" i="2"/>
  <c r="BO18" i="2"/>
  <c r="BK18" i="2"/>
  <c r="BG18" i="2"/>
  <c r="BS17" i="2"/>
  <c r="BO17" i="2"/>
  <c r="BK17" i="2"/>
  <c r="BG17" i="2"/>
  <c r="BS16" i="2"/>
  <c r="BO16" i="2"/>
  <c r="BK16" i="2"/>
  <c r="BG16" i="2"/>
  <c r="BS15" i="2"/>
  <c r="BO15" i="2"/>
  <c r="BK15" i="2"/>
  <c r="BG15" i="2"/>
  <c r="BS14" i="2"/>
  <c r="BO14" i="2"/>
  <c r="BK14" i="2"/>
  <c r="BG14" i="2"/>
  <c r="BS13" i="2"/>
  <c r="BO13" i="2"/>
  <c r="BK13" i="2"/>
  <c r="BG13" i="2"/>
  <c r="BS12" i="2"/>
  <c r="BO12" i="2"/>
  <c r="BK12" i="2"/>
  <c r="BG12" i="2"/>
  <c r="BS11" i="2"/>
  <c r="BO11" i="2"/>
  <c r="BK11" i="2"/>
  <c r="BG11" i="2"/>
  <c r="BS10" i="2"/>
  <c r="BS27" i="2" s="1"/>
  <c r="BO10" i="2"/>
  <c r="BK10" i="2"/>
  <c r="BK27" i="2" s="1"/>
  <c r="BG10" i="2"/>
  <c r="BG26" i="2" s="1"/>
  <c r="AM263" i="2"/>
  <c r="AM262" i="2"/>
  <c r="AM261" i="2"/>
  <c r="AM260" i="2"/>
  <c r="AM259" i="2"/>
  <c r="AM258" i="2"/>
  <c r="AM257" i="2"/>
  <c r="AM256" i="2"/>
  <c r="AM255" i="2"/>
  <c r="AM254" i="2"/>
  <c r="AM253" i="2"/>
  <c r="AI253" i="2"/>
  <c r="AM252" i="2"/>
  <c r="AI252" i="2"/>
  <c r="AM251" i="2"/>
  <c r="AI251" i="2"/>
  <c r="AM250" i="2"/>
  <c r="AI250" i="2"/>
  <c r="AM249" i="2"/>
  <c r="AI249" i="2"/>
  <c r="AM248" i="2"/>
  <c r="AI248" i="2"/>
  <c r="AM247" i="2"/>
  <c r="AI247" i="2"/>
  <c r="AE247" i="2"/>
  <c r="AM246" i="2"/>
  <c r="AI246" i="2"/>
  <c r="AE246" i="2"/>
  <c r="AM245" i="2"/>
  <c r="AI245" i="2"/>
  <c r="AE245" i="2"/>
  <c r="AM244" i="2"/>
  <c r="AI244" i="2"/>
  <c r="AE244" i="2"/>
  <c r="AM243" i="2"/>
  <c r="AI243" i="2"/>
  <c r="AE243" i="2"/>
  <c r="AM242" i="2"/>
  <c r="AI242" i="2"/>
  <c r="AE242" i="2"/>
  <c r="AM241" i="2"/>
  <c r="AI241" i="2"/>
  <c r="AE241" i="2"/>
  <c r="AM240" i="2"/>
  <c r="AI240" i="2"/>
  <c r="AE240" i="2"/>
  <c r="AM239" i="2"/>
  <c r="AI239" i="2"/>
  <c r="AE239" i="2"/>
  <c r="AM238" i="2"/>
  <c r="AI238" i="2"/>
  <c r="AE238" i="2"/>
  <c r="AM237" i="2"/>
  <c r="AI237" i="2"/>
  <c r="AE237" i="2"/>
  <c r="AM236" i="2"/>
  <c r="AI236" i="2"/>
  <c r="AE236" i="2"/>
  <c r="AM235" i="2"/>
  <c r="AI235" i="2"/>
  <c r="AE235" i="2"/>
  <c r="AM234" i="2"/>
  <c r="AI234" i="2"/>
  <c r="AE234" i="2"/>
  <c r="AM233" i="2"/>
  <c r="AI233" i="2"/>
  <c r="AE233" i="2"/>
  <c r="AM232" i="2"/>
  <c r="AI232" i="2"/>
  <c r="AE232" i="2"/>
  <c r="AM231" i="2"/>
  <c r="AI231" i="2"/>
  <c r="AE231" i="2"/>
  <c r="AM230" i="2"/>
  <c r="AI230" i="2"/>
  <c r="AE230" i="2"/>
  <c r="AM229" i="2"/>
  <c r="AI229" i="2"/>
  <c r="AE229" i="2"/>
  <c r="AM228" i="2"/>
  <c r="AI228" i="2"/>
  <c r="AE228" i="2"/>
  <c r="AM227" i="2"/>
  <c r="AI227" i="2"/>
  <c r="AE227" i="2"/>
  <c r="AM226" i="2"/>
  <c r="AI226" i="2"/>
  <c r="AE226" i="2"/>
  <c r="AM225" i="2"/>
  <c r="AI225" i="2"/>
  <c r="AE225" i="2"/>
  <c r="AM224" i="2"/>
  <c r="AI224" i="2"/>
  <c r="AE224" i="2"/>
  <c r="AM223" i="2"/>
  <c r="AI223" i="2"/>
  <c r="AE223" i="2"/>
  <c r="AM222" i="2"/>
  <c r="AI222" i="2"/>
  <c r="AE222" i="2"/>
  <c r="AM221" i="2"/>
  <c r="AI221" i="2"/>
  <c r="AE221" i="2"/>
  <c r="AM220" i="2"/>
  <c r="AI220" i="2"/>
  <c r="AE220" i="2"/>
  <c r="AM219" i="2"/>
  <c r="AI219" i="2"/>
  <c r="AE219" i="2"/>
  <c r="AM218" i="2"/>
  <c r="AI218" i="2"/>
  <c r="AE218" i="2"/>
  <c r="AM217" i="2"/>
  <c r="AI217" i="2"/>
  <c r="AE217" i="2"/>
  <c r="AM216" i="2"/>
  <c r="AI216" i="2"/>
  <c r="AE216" i="2"/>
  <c r="AM215" i="2"/>
  <c r="AI215" i="2"/>
  <c r="AE215" i="2"/>
  <c r="AM214" i="2"/>
  <c r="AI214" i="2"/>
  <c r="AE214" i="2"/>
  <c r="AM213" i="2"/>
  <c r="AI213" i="2"/>
  <c r="AE213" i="2"/>
  <c r="AM212" i="2"/>
  <c r="AI212" i="2"/>
  <c r="AE212" i="2"/>
  <c r="AM211" i="2"/>
  <c r="AI211" i="2"/>
  <c r="AE211" i="2"/>
  <c r="AM210" i="2"/>
  <c r="AI210" i="2"/>
  <c r="AE210" i="2"/>
  <c r="AM209" i="2"/>
  <c r="AI209" i="2"/>
  <c r="AE209" i="2"/>
  <c r="AM208" i="2"/>
  <c r="AI208" i="2"/>
  <c r="AE208" i="2"/>
  <c r="AM207" i="2"/>
  <c r="AI207" i="2"/>
  <c r="AE207" i="2"/>
  <c r="AM206" i="2"/>
  <c r="AI206" i="2"/>
  <c r="AE206" i="2"/>
  <c r="AM205" i="2"/>
  <c r="AI205" i="2"/>
  <c r="AE205" i="2"/>
  <c r="AM204" i="2"/>
  <c r="AI204" i="2"/>
  <c r="AE204" i="2"/>
  <c r="AM203" i="2"/>
  <c r="AI203" i="2"/>
  <c r="AE203" i="2"/>
  <c r="AM202" i="2"/>
  <c r="AI202" i="2"/>
  <c r="AE202" i="2"/>
  <c r="AM201" i="2"/>
  <c r="AI201" i="2"/>
  <c r="AE201" i="2"/>
  <c r="AM200" i="2"/>
  <c r="AI200" i="2"/>
  <c r="AE200" i="2"/>
  <c r="AM199" i="2"/>
  <c r="AI199" i="2"/>
  <c r="AE199" i="2"/>
  <c r="AM198" i="2"/>
  <c r="AI198" i="2"/>
  <c r="AE198" i="2"/>
  <c r="AM197" i="2"/>
  <c r="AI197" i="2"/>
  <c r="AE197" i="2"/>
  <c r="AM196" i="2"/>
  <c r="AI196" i="2"/>
  <c r="AE196" i="2"/>
  <c r="AM195" i="2"/>
  <c r="AI195" i="2"/>
  <c r="AE195" i="2"/>
  <c r="AM194" i="2"/>
  <c r="AI194" i="2"/>
  <c r="AE194" i="2"/>
  <c r="AM193" i="2"/>
  <c r="AI193" i="2"/>
  <c r="AE193" i="2"/>
  <c r="AM192" i="2"/>
  <c r="AI192" i="2"/>
  <c r="AE192" i="2"/>
  <c r="AM191" i="2"/>
  <c r="AI191" i="2"/>
  <c r="AE191" i="2"/>
  <c r="AM190" i="2"/>
  <c r="AI190" i="2"/>
  <c r="AE190" i="2"/>
  <c r="AM189" i="2"/>
  <c r="AI189" i="2"/>
  <c r="AE189" i="2"/>
  <c r="AM188" i="2"/>
  <c r="AI188" i="2"/>
  <c r="AE188" i="2"/>
  <c r="AM187" i="2"/>
  <c r="AI187" i="2"/>
  <c r="AE187" i="2"/>
  <c r="AM186" i="2"/>
  <c r="AI186" i="2"/>
  <c r="AE186" i="2"/>
  <c r="AM185" i="2"/>
  <c r="AI185" i="2"/>
  <c r="AE185" i="2"/>
  <c r="AM184" i="2"/>
  <c r="AI184" i="2"/>
  <c r="AE184" i="2"/>
  <c r="AM183" i="2"/>
  <c r="AI183" i="2"/>
  <c r="AE183" i="2"/>
  <c r="AM182" i="2"/>
  <c r="AI182" i="2"/>
  <c r="AE182" i="2"/>
  <c r="AM181" i="2"/>
  <c r="AI181" i="2"/>
  <c r="AE181" i="2"/>
  <c r="AM180" i="2"/>
  <c r="AI180" i="2"/>
  <c r="AE180" i="2"/>
  <c r="AM179" i="2"/>
  <c r="AI179" i="2"/>
  <c r="AE179" i="2"/>
  <c r="AM178" i="2"/>
  <c r="AI178" i="2"/>
  <c r="AE178" i="2"/>
  <c r="AM177" i="2"/>
  <c r="AI177" i="2"/>
  <c r="AE177" i="2"/>
  <c r="AM176" i="2"/>
  <c r="AI176" i="2"/>
  <c r="AE176" i="2"/>
  <c r="AM175" i="2"/>
  <c r="AI175" i="2"/>
  <c r="AE175" i="2"/>
  <c r="AM174" i="2"/>
  <c r="AI174" i="2"/>
  <c r="AE174" i="2"/>
  <c r="AM173" i="2"/>
  <c r="AI173" i="2"/>
  <c r="AE173" i="2"/>
  <c r="AM172" i="2"/>
  <c r="AI172" i="2"/>
  <c r="AE172" i="2"/>
  <c r="AM171" i="2"/>
  <c r="AI171" i="2"/>
  <c r="AE171" i="2"/>
  <c r="AM170" i="2"/>
  <c r="AI170" i="2"/>
  <c r="AE170" i="2"/>
  <c r="AM169" i="2"/>
  <c r="AI169" i="2"/>
  <c r="AE169" i="2"/>
  <c r="AM168" i="2"/>
  <c r="AI168" i="2"/>
  <c r="AE168" i="2"/>
  <c r="AM167" i="2"/>
  <c r="AI167" i="2"/>
  <c r="AE167" i="2"/>
  <c r="AM166" i="2"/>
  <c r="AI166" i="2"/>
  <c r="AE166" i="2"/>
  <c r="AM165" i="2"/>
  <c r="AI165" i="2"/>
  <c r="AE165" i="2"/>
  <c r="AM164" i="2"/>
  <c r="AI164" i="2"/>
  <c r="AE164" i="2"/>
  <c r="AM163" i="2"/>
  <c r="AI163" i="2"/>
  <c r="AE163" i="2"/>
  <c r="AM162" i="2"/>
  <c r="AI162" i="2"/>
  <c r="AE162" i="2"/>
  <c r="AM161" i="2"/>
  <c r="AI161" i="2"/>
  <c r="AE161" i="2"/>
  <c r="AM160" i="2"/>
  <c r="AI160" i="2"/>
  <c r="AE160" i="2"/>
  <c r="AM159" i="2"/>
  <c r="AI159" i="2"/>
  <c r="AE159" i="2"/>
  <c r="AM158" i="2"/>
  <c r="AI158" i="2"/>
  <c r="AE158" i="2"/>
  <c r="AM157" i="2"/>
  <c r="AI157" i="2"/>
  <c r="AE157" i="2"/>
  <c r="AM156" i="2"/>
  <c r="AI156" i="2"/>
  <c r="AE156" i="2"/>
  <c r="AM155" i="2"/>
  <c r="AI155" i="2"/>
  <c r="AE155" i="2"/>
  <c r="AM154" i="2"/>
  <c r="AI154" i="2"/>
  <c r="AE154" i="2"/>
  <c r="AM153" i="2"/>
  <c r="AI153" i="2"/>
  <c r="AE153" i="2"/>
  <c r="AM152" i="2"/>
  <c r="AI152" i="2"/>
  <c r="AE152" i="2"/>
  <c r="AM151" i="2"/>
  <c r="AI151" i="2"/>
  <c r="AE151" i="2"/>
  <c r="AM150" i="2"/>
  <c r="AI150" i="2"/>
  <c r="AE150" i="2"/>
  <c r="AM149" i="2"/>
  <c r="AI149" i="2"/>
  <c r="AE149" i="2"/>
  <c r="AM148" i="2"/>
  <c r="AI148" i="2"/>
  <c r="AE148" i="2"/>
  <c r="AM147" i="2"/>
  <c r="AI147" i="2"/>
  <c r="AE147" i="2"/>
  <c r="AM146" i="2"/>
  <c r="AI146" i="2"/>
  <c r="AE146" i="2"/>
  <c r="AM145" i="2"/>
  <c r="AI145" i="2"/>
  <c r="AE145" i="2"/>
  <c r="AM144" i="2"/>
  <c r="AI144" i="2"/>
  <c r="AE144" i="2"/>
  <c r="AM143" i="2"/>
  <c r="AI143" i="2"/>
  <c r="AE143" i="2"/>
  <c r="AM142" i="2"/>
  <c r="AI142" i="2"/>
  <c r="AE142" i="2"/>
  <c r="AM141" i="2"/>
  <c r="AI141" i="2"/>
  <c r="AE141" i="2"/>
  <c r="AM140" i="2"/>
  <c r="AI140" i="2"/>
  <c r="AE140" i="2"/>
  <c r="AM139" i="2"/>
  <c r="AI139" i="2"/>
  <c r="AE139" i="2"/>
  <c r="AM138" i="2"/>
  <c r="AI138" i="2"/>
  <c r="AE138" i="2"/>
  <c r="AM137" i="2"/>
  <c r="AI137" i="2"/>
  <c r="AE137" i="2"/>
  <c r="AM136" i="2"/>
  <c r="AI136" i="2"/>
  <c r="AE136" i="2"/>
  <c r="AM135" i="2"/>
  <c r="AI135" i="2"/>
  <c r="AE135" i="2"/>
  <c r="AM134" i="2"/>
  <c r="AI134" i="2"/>
  <c r="AE134" i="2"/>
  <c r="AM133" i="2"/>
  <c r="AI133" i="2"/>
  <c r="AE133" i="2"/>
  <c r="AM132" i="2"/>
  <c r="AI132" i="2"/>
  <c r="AE132" i="2"/>
  <c r="AM131" i="2"/>
  <c r="AI131" i="2"/>
  <c r="AE131" i="2"/>
  <c r="AM130" i="2"/>
  <c r="AI130" i="2"/>
  <c r="AE130" i="2"/>
  <c r="AM129" i="2"/>
  <c r="AI129" i="2"/>
  <c r="AE129" i="2"/>
  <c r="AM128" i="2"/>
  <c r="AI128" i="2"/>
  <c r="AE128" i="2"/>
  <c r="AM127" i="2"/>
  <c r="AI127" i="2"/>
  <c r="AE127" i="2"/>
  <c r="AM126" i="2"/>
  <c r="AI126" i="2"/>
  <c r="AE126" i="2"/>
  <c r="AM125" i="2"/>
  <c r="AI125" i="2"/>
  <c r="AE125" i="2"/>
  <c r="AM124" i="2"/>
  <c r="AI124" i="2"/>
  <c r="AE124" i="2"/>
  <c r="AM123" i="2"/>
  <c r="AI123" i="2"/>
  <c r="AE123" i="2"/>
  <c r="AM122" i="2"/>
  <c r="AI122" i="2"/>
  <c r="AE122" i="2"/>
  <c r="AM121" i="2"/>
  <c r="AI121" i="2"/>
  <c r="AE121" i="2"/>
  <c r="AM120" i="2"/>
  <c r="AI120" i="2"/>
  <c r="AE120" i="2"/>
  <c r="AM119" i="2"/>
  <c r="AI119" i="2"/>
  <c r="AE119" i="2"/>
  <c r="AM118" i="2"/>
  <c r="AI118" i="2"/>
  <c r="AE118" i="2"/>
  <c r="AM117" i="2"/>
  <c r="AI117" i="2"/>
  <c r="AE117" i="2"/>
  <c r="AM116" i="2"/>
  <c r="AI116" i="2"/>
  <c r="AE116" i="2"/>
  <c r="AM115" i="2"/>
  <c r="AI115" i="2"/>
  <c r="AE115" i="2"/>
  <c r="AM114" i="2"/>
  <c r="AI114" i="2"/>
  <c r="AE114" i="2"/>
  <c r="AM113" i="2"/>
  <c r="AI113" i="2"/>
  <c r="AE113" i="2"/>
  <c r="AM112" i="2"/>
  <c r="AI112" i="2"/>
  <c r="AE112" i="2"/>
  <c r="AM111" i="2"/>
  <c r="AI111" i="2"/>
  <c r="AE111" i="2"/>
  <c r="AM110" i="2"/>
  <c r="AI110" i="2"/>
  <c r="AE110" i="2"/>
  <c r="AM109" i="2"/>
  <c r="AI109" i="2"/>
  <c r="AE109" i="2"/>
  <c r="AM108" i="2"/>
  <c r="AI108" i="2"/>
  <c r="AE108" i="2"/>
  <c r="AM107" i="2"/>
  <c r="AI107" i="2"/>
  <c r="AE107" i="2"/>
  <c r="AM106" i="2"/>
  <c r="AI106" i="2"/>
  <c r="AE106" i="2"/>
  <c r="AM105" i="2"/>
  <c r="AI105" i="2"/>
  <c r="AE105" i="2"/>
  <c r="AM104" i="2"/>
  <c r="AI104" i="2"/>
  <c r="AE104" i="2"/>
  <c r="AM103" i="2"/>
  <c r="AI103" i="2"/>
  <c r="AE103" i="2"/>
  <c r="AM102" i="2"/>
  <c r="AI102" i="2"/>
  <c r="AE102" i="2"/>
  <c r="AM101" i="2"/>
  <c r="AI101" i="2"/>
  <c r="AE101" i="2"/>
  <c r="AM100" i="2"/>
  <c r="AI100" i="2"/>
  <c r="AE100" i="2"/>
  <c r="AM99" i="2"/>
  <c r="AI99" i="2"/>
  <c r="AE99" i="2"/>
  <c r="AM98" i="2"/>
  <c r="AI98" i="2"/>
  <c r="AE98" i="2"/>
  <c r="AM97" i="2"/>
  <c r="AI97" i="2"/>
  <c r="AE97" i="2"/>
  <c r="AM96" i="2"/>
  <c r="AI96" i="2"/>
  <c r="AE96" i="2"/>
  <c r="AM95" i="2"/>
  <c r="AI95" i="2"/>
  <c r="AE95" i="2"/>
  <c r="AM94" i="2"/>
  <c r="AI94" i="2"/>
  <c r="AE94" i="2"/>
  <c r="AM93" i="2"/>
  <c r="AI93" i="2"/>
  <c r="AE93" i="2"/>
  <c r="AM92" i="2"/>
  <c r="AI92" i="2"/>
  <c r="AE92" i="2"/>
  <c r="AM91" i="2"/>
  <c r="AI91" i="2"/>
  <c r="AE91" i="2"/>
  <c r="AM90" i="2"/>
  <c r="AI90" i="2"/>
  <c r="AE90" i="2"/>
  <c r="AM89" i="2"/>
  <c r="AI89" i="2"/>
  <c r="AE89" i="2"/>
  <c r="AM88" i="2"/>
  <c r="AI88" i="2"/>
  <c r="AE88" i="2"/>
  <c r="AM87" i="2"/>
  <c r="AI87" i="2"/>
  <c r="AE87" i="2"/>
  <c r="AM86" i="2"/>
  <c r="AI86" i="2"/>
  <c r="AE86" i="2"/>
  <c r="AM85" i="2"/>
  <c r="AI85" i="2"/>
  <c r="AE85" i="2"/>
  <c r="AM84" i="2"/>
  <c r="AI84" i="2"/>
  <c r="AE84" i="2"/>
  <c r="AM83" i="2"/>
  <c r="AI83" i="2"/>
  <c r="AE83" i="2"/>
  <c r="AM82" i="2"/>
  <c r="AI82" i="2"/>
  <c r="AE82" i="2"/>
  <c r="AM81" i="2"/>
  <c r="AI81" i="2"/>
  <c r="AE81" i="2"/>
  <c r="AM80" i="2"/>
  <c r="AI80" i="2"/>
  <c r="AE80" i="2"/>
  <c r="AM79" i="2"/>
  <c r="AI79" i="2"/>
  <c r="AE79" i="2"/>
  <c r="AM78" i="2"/>
  <c r="AI78" i="2"/>
  <c r="AE78" i="2"/>
  <c r="AM77" i="2"/>
  <c r="AI77" i="2"/>
  <c r="AE77" i="2"/>
  <c r="AM76" i="2"/>
  <c r="AI76" i="2"/>
  <c r="AE76" i="2"/>
  <c r="AM75" i="2"/>
  <c r="AI75" i="2"/>
  <c r="AE75" i="2"/>
  <c r="AM74" i="2"/>
  <c r="AI74" i="2"/>
  <c r="AE74" i="2"/>
  <c r="AM73" i="2"/>
  <c r="AI73" i="2"/>
  <c r="AE73" i="2"/>
  <c r="AM72" i="2"/>
  <c r="AI72" i="2"/>
  <c r="AE72" i="2"/>
  <c r="AM71" i="2"/>
  <c r="AI71" i="2"/>
  <c r="AE71" i="2"/>
  <c r="AM70" i="2"/>
  <c r="AI70" i="2"/>
  <c r="AE70" i="2"/>
  <c r="AM69" i="2"/>
  <c r="AI69" i="2"/>
  <c r="AE69" i="2"/>
  <c r="AM68" i="2"/>
  <c r="AI68" i="2"/>
  <c r="AE68" i="2"/>
  <c r="AM67" i="2"/>
  <c r="AI67" i="2"/>
  <c r="AE67" i="2"/>
  <c r="AM66" i="2"/>
  <c r="AI66" i="2"/>
  <c r="AE66" i="2"/>
  <c r="AM65" i="2"/>
  <c r="AI65" i="2"/>
  <c r="AE65" i="2"/>
  <c r="AM64" i="2"/>
  <c r="AI64" i="2"/>
  <c r="AE64" i="2"/>
  <c r="AM63" i="2"/>
  <c r="AI63" i="2"/>
  <c r="AE63" i="2"/>
  <c r="AM62" i="2"/>
  <c r="AI62" i="2"/>
  <c r="AE62" i="2"/>
  <c r="AM61" i="2"/>
  <c r="AI61" i="2"/>
  <c r="AE61" i="2"/>
  <c r="AM60" i="2"/>
  <c r="AI60" i="2"/>
  <c r="AE60" i="2"/>
  <c r="AM59" i="2"/>
  <c r="AI59" i="2"/>
  <c r="AE59" i="2"/>
  <c r="AM58" i="2"/>
  <c r="AI58" i="2"/>
  <c r="AE58" i="2"/>
  <c r="AM57" i="2"/>
  <c r="AI57" i="2"/>
  <c r="AE57" i="2"/>
  <c r="AM56" i="2"/>
  <c r="AI56" i="2"/>
  <c r="AE56" i="2"/>
  <c r="AM55" i="2"/>
  <c r="AI55" i="2"/>
  <c r="AE55" i="2"/>
  <c r="AM54" i="2"/>
  <c r="AI54" i="2"/>
  <c r="AE54" i="2"/>
  <c r="AM53" i="2"/>
  <c r="AI53" i="2"/>
  <c r="AE53" i="2"/>
  <c r="AM52" i="2"/>
  <c r="AI52" i="2"/>
  <c r="AE52" i="2"/>
  <c r="AM51" i="2"/>
  <c r="AI51" i="2"/>
  <c r="AE51" i="2"/>
  <c r="AM50" i="2"/>
  <c r="AI50" i="2"/>
  <c r="AE50" i="2"/>
  <c r="AM49" i="2"/>
  <c r="AI49" i="2"/>
  <c r="AE49" i="2"/>
  <c r="AM48" i="2"/>
  <c r="AI48" i="2"/>
  <c r="AE48" i="2"/>
  <c r="AM47" i="2"/>
  <c r="AI47" i="2"/>
  <c r="AE47" i="2"/>
  <c r="AM46" i="2"/>
  <c r="AI46" i="2"/>
  <c r="AE46" i="2"/>
  <c r="AM45" i="2"/>
  <c r="AI45" i="2"/>
  <c r="AE45" i="2"/>
  <c r="AM44" i="2"/>
  <c r="AI44" i="2"/>
  <c r="AE44" i="2"/>
  <c r="AM43" i="2"/>
  <c r="AI43" i="2"/>
  <c r="AE43" i="2"/>
  <c r="AM42" i="2"/>
  <c r="AI42" i="2"/>
  <c r="AE42" i="2"/>
  <c r="AM41" i="2"/>
  <c r="AI41" i="2"/>
  <c r="AE41" i="2"/>
  <c r="AM40" i="2"/>
  <c r="AI40" i="2"/>
  <c r="AE40" i="2"/>
  <c r="AY39" i="2"/>
  <c r="AQ39" i="2"/>
  <c r="AM39" i="2"/>
  <c r="AI39" i="2"/>
  <c r="AE39" i="2"/>
  <c r="AY38" i="2"/>
  <c r="AQ38" i="2"/>
  <c r="AM38" i="2"/>
  <c r="AI38" i="2"/>
  <c r="AE38" i="2"/>
  <c r="AY37" i="2"/>
  <c r="AQ37" i="2"/>
  <c r="AM37" i="2"/>
  <c r="AI37" i="2"/>
  <c r="AE37" i="2"/>
  <c r="AY36" i="2"/>
  <c r="AU36" i="2"/>
  <c r="AQ36" i="2"/>
  <c r="AM36" i="2"/>
  <c r="AI36" i="2"/>
  <c r="AE36" i="2"/>
  <c r="AY35" i="2"/>
  <c r="AU35" i="2"/>
  <c r="AQ35" i="2"/>
  <c r="AM35" i="2"/>
  <c r="AI35" i="2"/>
  <c r="AE35" i="2"/>
  <c r="AY34" i="2"/>
  <c r="AU34" i="2"/>
  <c r="AQ34" i="2"/>
  <c r="AM34" i="2"/>
  <c r="AI34" i="2"/>
  <c r="AE34" i="2"/>
  <c r="AY33" i="2"/>
  <c r="AU33" i="2"/>
  <c r="AQ33" i="2"/>
  <c r="AM33" i="2"/>
  <c r="AI33" i="2"/>
  <c r="AE33" i="2"/>
  <c r="AY32" i="2"/>
  <c r="AU32" i="2"/>
  <c r="AQ32" i="2"/>
  <c r="AM32" i="2"/>
  <c r="AI32" i="2"/>
  <c r="AE32" i="2"/>
  <c r="AY31" i="2"/>
  <c r="AU31" i="2"/>
  <c r="AQ31" i="2"/>
  <c r="AM31" i="2"/>
  <c r="AI31" i="2"/>
  <c r="AE31" i="2"/>
  <c r="AY30" i="2"/>
  <c r="AU30" i="2"/>
  <c r="AQ30" i="2"/>
  <c r="AM30" i="2"/>
  <c r="AI30" i="2"/>
  <c r="AE30" i="2"/>
  <c r="AY29" i="2"/>
  <c r="AU29" i="2"/>
  <c r="AQ29" i="2"/>
  <c r="AM29" i="2"/>
  <c r="AI29" i="2"/>
  <c r="AE29" i="2"/>
  <c r="AY28" i="2"/>
  <c r="AU28" i="2"/>
  <c r="AQ28" i="2"/>
  <c r="AM28" i="2"/>
  <c r="AI28" i="2"/>
  <c r="AE28" i="2"/>
  <c r="AY27" i="2"/>
  <c r="AU27" i="2"/>
  <c r="AQ27" i="2"/>
  <c r="AM27" i="2"/>
  <c r="AI27" i="2"/>
  <c r="AE27" i="2"/>
  <c r="AY26" i="2"/>
  <c r="AU26" i="2"/>
  <c r="AQ26" i="2"/>
  <c r="AM26" i="2"/>
  <c r="AI26" i="2"/>
  <c r="AE26" i="2"/>
  <c r="AY25" i="2"/>
  <c r="AU25" i="2"/>
  <c r="AQ25" i="2"/>
  <c r="AM25" i="2"/>
  <c r="AI25" i="2"/>
  <c r="AE25" i="2"/>
  <c r="AY24" i="2"/>
  <c r="AU24" i="2"/>
  <c r="AQ24" i="2"/>
  <c r="AM24" i="2"/>
  <c r="AI24" i="2"/>
  <c r="AE24" i="2"/>
  <c r="AY23" i="2"/>
  <c r="AU23" i="2"/>
  <c r="AQ23" i="2"/>
  <c r="AM23" i="2"/>
  <c r="AI23" i="2"/>
  <c r="AE23" i="2"/>
  <c r="AY22" i="2"/>
  <c r="AU22" i="2"/>
  <c r="AQ22" i="2"/>
  <c r="AM22" i="2"/>
  <c r="AI22" i="2"/>
  <c r="AE22" i="2"/>
  <c r="AY21" i="2"/>
  <c r="AU21" i="2"/>
  <c r="AQ21" i="2"/>
  <c r="AM21" i="2"/>
  <c r="AI21" i="2"/>
  <c r="AE21" i="2"/>
  <c r="AY20" i="2"/>
  <c r="AU20" i="2"/>
  <c r="AQ20" i="2"/>
  <c r="AM20" i="2"/>
  <c r="AI20" i="2"/>
  <c r="AE20" i="2"/>
  <c r="AY19" i="2"/>
  <c r="AU19" i="2"/>
  <c r="AQ19" i="2"/>
  <c r="AM19" i="2"/>
  <c r="AI19" i="2"/>
  <c r="AE19" i="2"/>
  <c r="AY18" i="2"/>
  <c r="AU18" i="2"/>
  <c r="AQ18" i="2"/>
  <c r="AM18" i="2"/>
  <c r="AI18" i="2"/>
  <c r="AE18" i="2"/>
  <c r="AY17" i="2"/>
  <c r="AU17" i="2"/>
  <c r="AQ17" i="2"/>
  <c r="AM17" i="2"/>
  <c r="AI17" i="2"/>
  <c r="AE17" i="2"/>
  <c r="AY16" i="2"/>
  <c r="AU16" i="2"/>
  <c r="AQ16" i="2"/>
  <c r="AM16" i="2"/>
  <c r="AI16" i="2"/>
  <c r="AE16" i="2"/>
  <c r="AY15" i="2"/>
  <c r="AU15" i="2"/>
  <c r="AQ15" i="2"/>
  <c r="AM15" i="2"/>
  <c r="AI15" i="2"/>
  <c r="AE15" i="2"/>
  <c r="AY14" i="2"/>
  <c r="AU14" i="2"/>
  <c r="AQ14" i="2"/>
  <c r="AM14" i="2"/>
  <c r="AI14" i="2"/>
  <c r="AE14" i="2"/>
  <c r="AY13" i="2"/>
  <c r="AU13" i="2"/>
  <c r="AQ13" i="2"/>
  <c r="AM13" i="2"/>
  <c r="AI13" i="2"/>
  <c r="AE13" i="2"/>
  <c r="AY12" i="2"/>
  <c r="AU12" i="2"/>
  <c r="AQ12" i="2"/>
  <c r="AM12" i="2"/>
  <c r="AI12" i="2"/>
  <c r="AE12" i="2"/>
  <c r="AY11" i="2"/>
  <c r="AU11" i="2"/>
  <c r="AQ11" i="2"/>
  <c r="AM11" i="2"/>
  <c r="AI11" i="2"/>
  <c r="AE11" i="2"/>
  <c r="AY10" i="2"/>
  <c r="AU10" i="2"/>
  <c r="AQ10" i="2"/>
  <c r="AM10" i="2"/>
  <c r="AI10" i="2"/>
  <c r="AE10" i="2"/>
  <c r="AU9" i="2"/>
  <c r="AQ9" i="2"/>
  <c r="AM9" i="2"/>
  <c r="AI9" i="2"/>
  <c r="AE9" i="2"/>
  <c r="W191" i="2"/>
  <c r="AA190" i="2"/>
  <c r="W190" i="2"/>
  <c r="AA189" i="2"/>
  <c r="W189" i="2"/>
  <c r="AA188" i="2"/>
  <c r="W188" i="2"/>
  <c r="AA187" i="2"/>
  <c r="W187" i="2"/>
  <c r="AA186" i="2"/>
  <c r="W186" i="2"/>
  <c r="AA185" i="2"/>
  <c r="W185" i="2"/>
  <c r="AA184" i="2"/>
  <c r="W184" i="2"/>
  <c r="AA183" i="2"/>
  <c r="W183" i="2"/>
  <c r="AA182" i="2"/>
  <c r="W182" i="2"/>
  <c r="AA181" i="2"/>
  <c r="W181" i="2"/>
  <c r="AA180" i="2"/>
  <c r="W180" i="2"/>
  <c r="AA179" i="2"/>
  <c r="W179" i="2"/>
  <c r="AA178" i="2"/>
  <c r="W178" i="2"/>
  <c r="AA177" i="2"/>
  <c r="W177" i="2"/>
  <c r="AA176" i="2"/>
  <c r="W176" i="2"/>
  <c r="AA175" i="2"/>
  <c r="W175" i="2"/>
  <c r="AA174" i="2"/>
  <c r="W174" i="2"/>
  <c r="AA173" i="2"/>
  <c r="W173" i="2"/>
  <c r="AA172" i="2"/>
  <c r="W172" i="2"/>
  <c r="AA171" i="2"/>
  <c r="W171" i="2"/>
  <c r="AA170" i="2"/>
  <c r="W170" i="2"/>
  <c r="AA169" i="2"/>
  <c r="W169" i="2"/>
  <c r="AA168" i="2"/>
  <c r="W168" i="2"/>
  <c r="AA167" i="2"/>
  <c r="W167" i="2"/>
  <c r="AA166" i="2"/>
  <c r="W166" i="2"/>
  <c r="AA165" i="2"/>
  <c r="W165" i="2"/>
  <c r="AA164" i="2"/>
  <c r="W164" i="2"/>
  <c r="AA163" i="2"/>
  <c r="W163" i="2"/>
  <c r="AA162" i="2"/>
  <c r="W162" i="2"/>
  <c r="AA161" i="2"/>
  <c r="W161" i="2"/>
  <c r="AA160" i="2"/>
  <c r="W160" i="2"/>
  <c r="AA159" i="2"/>
  <c r="W159" i="2"/>
  <c r="AA158" i="2"/>
  <c r="W158" i="2"/>
  <c r="AA157" i="2"/>
  <c r="W157" i="2"/>
  <c r="AA156" i="2"/>
  <c r="W156" i="2"/>
  <c r="AA155" i="2"/>
  <c r="W155" i="2"/>
  <c r="AA154" i="2"/>
  <c r="W154" i="2"/>
  <c r="AA153" i="2"/>
  <c r="W153" i="2"/>
  <c r="AA152" i="2"/>
  <c r="W152" i="2"/>
  <c r="AA151" i="2"/>
  <c r="W151" i="2"/>
  <c r="AA150" i="2"/>
  <c r="W150" i="2"/>
  <c r="AA149" i="2"/>
  <c r="W149" i="2"/>
  <c r="AA148" i="2"/>
  <c r="W148" i="2"/>
  <c r="AA147" i="2"/>
  <c r="W147" i="2"/>
  <c r="AA146" i="2"/>
  <c r="W146" i="2"/>
  <c r="AA145" i="2"/>
  <c r="W145" i="2"/>
  <c r="AA144" i="2"/>
  <c r="W144" i="2"/>
  <c r="AA143" i="2"/>
  <c r="W143" i="2"/>
  <c r="AA142" i="2"/>
  <c r="W142" i="2"/>
  <c r="AA141" i="2"/>
  <c r="W141" i="2"/>
  <c r="AA140" i="2"/>
  <c r="W140" i="2"/>
  <c r="AA139" i="2"/>
  <c r="W139" i="2"/>
  <c r="AA138" i="2"/>
  <c r="W138" i="2"/>
  <c r="AA137" i="2"/>
  <c r="W137" i="2"/>
  <c r="AA136" i="2"/>
  <c r="W136" i="2"/>
  <c r="AA135" i="2"/>
  <c r="W135" i="2"/>
  <c r="AA134" i="2"/>
  <c r="W134" i="2"/>
  <c r="AA133" i="2"/>
  <c r="W133" i="2"/>
  <c r="AA132" i="2"/>
  <c r="W132" i="2"/>
  <c r="AA131" i="2"/>
  <c r="W131" i="2"/>
  <c r="AA130" i="2"/>
  <c r="W130" i="2"/>
  <c r="AA129" i="2"/>
  <c r="W129" i="2"/>
  <c r="AA128" i="2"/>
  <c r="W128" i="2"/>
  <c r="AA127" i="2"/>
  <c r="W127" i="2"/>
  <c r="AA126" i="2"/>
  <c r="W126" i="2"/>
  <c r="AA125" i="2"/>
  <c r="W125" i="2"/>
  <c r="AA124" i="2"/>
  <c r="W124" i="2"/>
  <c r="AA123" i="2"/>
  <c r="W123" i="2"/>
  <c r="AA122" i="2"/>
  <c r="W122" i="2"/>
  <c r="AA121" i="2"/>
  <c r="W121" i="2"/>
  <c r="AA120" i="2"/>
  <c r="W120" i="2"/>
  <c r="AA119" i="2"/>
  <c r="W119" i="2"/>
  <c r="AA118" i="2"/>
  <c r="W118" i="2"/>
  <c r="AA117" i="2"/>
  <c r="W117" i="2"/>
  <c r="AA116" i="2"/>
  <c r="W116" i="2"/>
  <c r="AA115" i="2"/>
  <c r="W115" i="2"/>
  <c r="AA114" i="2"/>
  <c r="W114" i="2"/>
  <c r="AA113" i="2"/>
  <c r="W113" i="2"/>
  <c r="AA112" i="2"/>
  <c r="W112" i="2"/>
  <c r="AA111" i="2"/>
  <c r="W111" i="2"/>
  <c r="AA110" i="2"/>
  <c r="W110" i="2"/>
  <c r="AA109" i="2"/>
  <c r="W109" i="2"/>
  <c r="AA108" i="2"/>
  <c r="W108" i="2"/>
  <c r="AA107" i="2"/>
  <c r="W107" i="2"/>
  <c r="AA106" i="2"/>
  <c r="W106" i="2"/>
  <c r="AA105" i="2"/>
  <c r="W105" i="2"/>
  <c r="AA104" i="2"/>
  <c r="W104" i="2"/>
  <c r="AA103" i="2"/>
  <c r="W103" i="2"/>
  <c r="AA102" i="2"/>
  <c r="W102" i="2"/>
  <c r="AA101" i="2"/>
  <c r="W101" i="2"/>
  <c r="AA100" i="2"/>
  <c r="W100" i="2"/>
  <c r="AA99" i="2"/>
  <c r="W99" i="2"/>
  <c r="AA98" i="2"/>
  <c r="W98" i="2"/>
  <c r="AA97" i="2"/>
  <c r="W97" i="2"/>
  <c r="AA96" i="2"/>
  <c r="W96" i="2"/>
  <c r="AA95" i="2"/>
  <c r="W95" i="2"/>
  <c r="AA94" i="2"/>
  <c r="W94" i="2"/>
  <c r="AA93" i="2"/>
  <c r="W93" i="2"/>
  <c r="AA92" i="2"/>
  <c r="W92" i="2"/>
  <c r="AA91" i="2"/>
  <c r="W91" i="2"/>
  <c r="AA90" i="2"/>
  <c r="W90" i="2"/>
  <c r="AA89" i="2"/>
  <c r="W89" i="2"/>
  <c r="AA88" i="2"/>
  <c r="W88" i="2"/>
  <c r="AA87" i="2"/>
  <c r="W87" i="2"/>
  <c r="AA86" i="2"/>
  <c r="W86" i="2"/>
  <c r="AA85" i="2"/>
  <c r="W85" i="2"/>
  <c r="AA84" i="2"/>
  <c r="W84" i="2"/>
  <c r="AA83" i="2"/>
  <c r="W83" i="2"/>
  <c r="AA82" i="2"/>
  <c r="W82" i="2"/>
  <c r="AA81" i="2"/>
  <c r="W81" i="2"/>
  <c r="AA80" i="2"/>
  <c r="W80" i="2"/>
  <c r="AA79" i="2"/>
  <c r="W79" i="2"/>
  <c r="AA78" i="2"/>
  <c r="W78" i="2"/>
  <c r="AA77" i="2"/>
  <c r="W77" i="2"/>
  <c r="AA76" i="2"/>
  <c r="W76" i="2"/>
  <c r="AA75" i="2"/>
  <c r="W75" i="2"/>
  <c r="AA74" i="2"/>
  <c r="W74" i="2"/>
  <c r="AA73" i="2"/>
  <c r="W73" i="2"/>
  <c r="AA72" i="2"/>
  <c r="W72" i="2"/>
  <c r="AA71" i="2"/>
  <c r="W71" i="2"/>
  <c r="C71" i="2"/>
  <c r="AA70" i="2"/>
  <c r="W70" i="2"/>
  <c r="C70" i="2"/>
  <c r="AA69" i="2"/>
  <c r="W69" i="2"/>
  <c r="C69" i="2"/>
  <c r="AA68" i="2"/>
  <c r="W68" i="2"/>
  <c r="C68" i="2"/>
  <c r="AA67" i="2"/>
  <c r="W67" i="2"/>
  <c r="C67" i="2"/>
  <c r="AA66" i="2"/>
  <c r="W66" i="2"/>
  <c r="C66" i="2"/>
  <c r="AA65" i="2"/>
  <c r="W65" i="2"/>
  <c r="C65" i="2"/>
  <c r="AA64" i="2"/>
  <c r="W64" i="2"/>
  <c r="C64" i="2"/>
  <c r="AA63" i="2"/>
  <c r="W63" i="2"/>
  <c r="C63" i="2"/>
  <c r="AA62" i="2"/>
  <c r="W62" i="2"/>
  <c r="C62" i="2"/>
  <c r="AA61" i="2"/>
  <c r="W61" i="2"/>
  <c r="C61" i="2"/>
  <c r="AA60" i="2"/>
  <c r="W60" i="2"/>
  <c r="C60" i="2"/>
  <c r="AA59" i="2"/>
  <c r="W59" i="2"/>
  <c r="C59" i="2"/>
  <c r="AA58" i="2"/>
  <c r="W58" i="2"/>
  <c r="C58" i="2"/>
  <c r="AA57" i="2"/>
  <c r="W57" i="2"/>
  <c r="C57" i="2"/>
  <c r="AA56" i="2"/>
  <c r="W56" i="2"/>
  <c r="C56" i="2"/>
  <c r="AA55" i="2"/>
  <c r="W55" i="2"/>
  <c r="C55" i="2"/>
  <c r="AA54" i="2"/>
  <c r="W54" i="2"/>
  <c r="C54" i="2"/>
  <c r="AA53" i="2"/>
  <c r="W53" i="2"/>
  <c r="C53" i="2"/>
  <c r="AA52" i="2"/>
  <c r="W52" i="2"/>
  <c r="C52" i="2"/>
  <c r="AA51" i="2"/>
  <c r="W51" i="2"/>
  <c r="C51" i="2"/>
  <c r="AA50" i="2"/>
  <c r="W50" i="2"/>
  <c r="C50" i="2"/>
  <c r="AA49" i="2"/>
  <c r="W49" i="2"/>
  <c r="C49" i="2"/>
  <c r="AA48" i="2"/>
  <c r="W48" i="2"/>
  <c r="C48" i="2"/>
  <c r="AA47" i="2"/>
  <c r="W47" i="2"/>
  <c r="C47" i="2"/>
  <c r="AA46" i="2"/>
  <c r="W46" i="2"/>
  <c r="C46" i="2"/>
  <c r="AA45" i="2"/>
  <c r="W45" i="2"/>
  <c r="C45" i="2"/>
  <c r="AA44" i="2"/>
  <c r="W44" i="2"/>
  <c r="C44" i="2"/>
  <c r="AA43" i="2"/>
  <c r="W43" i="2"/>
  <c r="C43" i="2"/>
  <c r="AA42" i="2"/>
  <c r="W42" i="2"/>
  <c r="C42" i="2"/>
  <c r="AA41" i="2"/>
  <c r="W41" i="2"/>
  <c r="C41" i="2"/>
  <c r="AA40" i="2"/>
  <c r="W40" i="2"/>
  <c r="C40" i="2"/>
  <c r="AA39" i="2"/>
  <c r="W39" i="2"/>
  <c r="C39" i="2"/>
  <c r="AA38" i="2"/>
  <c r="W38" i="2"/>
  <c r="C38" i="2"/>
  <c r="AA37" i="2"/>
  <c r="W37" i="2"/>
  <c r="C37" i="2"/>
  <c r="AA36" i="2"/>
  <c r="W36" i="2"/>
  <c r="C36" i="2"/>
  <c r="AA35" i="2"/>
  <c r="W35" i="2"/>
  <c r="C35" i="2"/>
  <c r="AA34" i="2"/>
  <c r="W34" i="2"/>
  <c r="C34" i="2"/>
  <c r="AA33" i="2"/>
  <c r="W33" i="2"/>
  <c r="S33" i="2"/>
  <c r="O33" i="2"/>
  <c r="C33" i="2"/>
  <c r="AA32" i="2"/>
  <c r="W32" i="2"/>
  <c r="S32" i="2"/>
  <c r="O32" i="2"/>
  <c r="C32" i="2"/>
  <c r="AA31" i="2"/>
  <c r="W31" i="2"/>
  <c r="S31" i="2"/>
  <c r="O31" i="2"/>
  <c r="C31" i="2"/>
  <c r="AA30" i="2"/>
  <c r="W30" i="2"/>
  <c r="S30" i="2"/>
  <c r="O30" i="2"/>
  <c r="C30" i="2"/>
  <c r="AA29" i="2"/>
  <c r="W29" i="2"/>
  <c r="S29" i="2"/>
  <c r="O29" i="2"/>
  <c r="C29" i="2"/>
  <c r="AA28" i="2"/>
  <c r="W28" i="2"/>
  <c r="S28" i="2"/>
  <c r="O28" i="2"/>
  <c r="C28" i="2"/>
  <c r="AA27" i="2"/>
  <c r="W27" i="2"/>
  <c r="S27" i="2"/>
  <c r="O27" i="2"/>
  <c r="C27" i="2"/>
  <c r="AA26" i="2"/>
  <c r="W26" i="2"/>
  <c r="S26" i="2"/>
  <c r="O26" i="2"/>
  <c r="C26" i="2"/>
  <c r="AA25" i="2"/>
  <c r="W25" i="2"/>
  <c r="S25" i="2"/>
  <c r="O25" i="2"/>
  <c r="C25" i="2"/>
  <c r="AA24" i="2"/>
  <c r="W24" i="2"/>
  <c r="S24" i="2"/>
  <c r="O24" i="2"/>
  <c r="C24" i="2"/>
  <c r="AA23" i="2"/>
  <c r="W23" i="2"/>
  <c r="S23" i="2"/>
  <c r="O23" i="2"/>
  <c r="C23" i="2"/>
  <c r="AA22" i="2"/>
  <c r="W22" i="2"/>
  <c r="S22" i="2"/>
  <c r="O22" i="2"/>
  <c r="C22" i="2"/>
  <c r="AA21" i="2"/>
  <c r="W21" i="2"/>
  <c r="S21" i="2"/>
  <c r="O21" i="2"/>
  <c r="C21" i="2"/>
  <c r="AA20" i="2"/>
  <c r="W20" i="2"/>
  <c r="S20" i="2"/>
  <c r="O20" i="2"/>
  <c r="C20" i="2"/>
  <c r="AA19" i="2"/>
  <c r="W19" i="2"/>
  <c r="S19" i="2"/>
  <c r="O19" i="2"/>
  <c r="C19" i="2"/>
  <c r="AA18" i="2"/>
  <c r="W18" i="2"/>
  <c r="S18" i="2"/>
  <c r="O18" i="2"/>
  <c r="K18" i="2"/>
  <c r="G18" i="2"/>
  <c r="C18" i="2"/>
  <c r="AA17" i="2"/>
  <c r="W17" i="2"/>
  <c r="S17" i="2"/>
  <c r="O17" i="2"/>
  <c r="K17" i="2"/>
  <c r="G17" i="2"/>
  <c r="C17" i="2"/>
  <c r="AA16" i="2"/>
  <c r="W16" i="2"/>
  <c r="S16" i="2"/>
  <c r="O16" i="2"/>
  <c r="K16" i="2"/>
  <c r="G16" i="2"/>
  <c r="C16" i="2"/>
  <c r="AA15" i="2"/>
  <c r="W15" i="2"/>
  <c r="S15" i="2"/>
  <c r="O15" i="2"/>
  <c r="K15" i="2"/>
  <c r="G15" i="2"/>
  <c r="C15" i="2"/>
  <c r="AA14" i="2"/>
  <c r="W14" i="2"/>
  <c r="S14" i="2"/>
  <c r="O14" i="2"/>
  <c r="K14" i="2"/>
  <c r="G14" i="2"/>
  <c r="C14" i="2"/>
  <c r="AA13" i="2"/>
  <c r="W13" i="2"/>
  <c r="S13" i="2"/>
  <c r="O13" i="2"/>
  <c r="K13" i="2"/>
  <c r="G13" i="2"/>
  <c r="C13" i="2"/>
  <c r="AA12" i="2"/>
  <c r="W12" i="2"/>
  <c r="S12" i="2"/>
  <c r="O12" i="2"/>
  <c r="K12" i="2"/>
  <c r="G12" i="2"/>
  <c r="C12" i="2"/>
  <c r="AA11" i="2"/>
  <c r="W11" i="2"/>
  <c r="S11" i="2"/>
  <c r="O11" i="2"/>
  <c r="K11" i="2"/>
  <c r="G11" i="2"/>
  <c r="C11" i="2"/>
  <c r="AA10" i="2"/>
  <c r="W10" i="2"/>
  <c r="W192" i="2" s="1"/>
  <c r="S10" i="2"/>
  <c r="O10" i="2"/>
  <c r="K10" i="2"/>
  <c r="G10" i="2"/>
  <c r="C10" i="2"/>
  <c r="AA9" i="2"/>
  <c r="AA191" i="2" s="1"/>
  <c r="W9" i="2"/>
  <c r="S9" i="2"/>
  <c r="S34" i="2" s="1"/>
  <c r="O9" i="2"/>
  <c r="O34" i="2" s="1"/>
  <c r="K9" i="2"/>
  <c r="K19" i="2" s="1"/>
  <c r="G9" i="2"/>
  <c r="G19" i="2" s="1"/>
  <c r="C9" i="2"/>
  <c r="C72" i="2" s="1"/>
  <c r="AE248" i="2" l="1"/>
  <c r="AI254" i="2"/>
  <c r="AY40" i="2"/>
  <c r="AU37" i="2"/>
  <c r="AQ40" i="2"/>
  <c r="AM264" i="2"/>
</calcChain>
</file>

<file path=xl/sharedStrings.xml><?xml version="1.0" encoding="utf-8"?>
<sst xmlns="http://schemas.openxmlformats.org/spreadsheetml/2006/main" count="896" uniqueCount="216">
  <si>
    <t>LDO_01</t>
  </si>
  <si>
    <t>LDO_02</t>
  </si>
  <si>
    <t>LDO_03</t>
  </si>
  <si>
    <t>LDO_05</t>
  </si>
  <si>
    <t>LDO_06</t>
  </si>
  <si>
    <t>LDO_07</t>
  </si>
  <si>
    <t>LDO_08</t>
  </si>
  <si>
    <t>起始电压/V</t>
  </si>
  <si>
    <t>截止电压/V</t>
  </si>
  <si>
    <t>1.5 (受限于输入电压)</t>
  </si>
  <si>
    <t>默认电压/V</t>
  </si>
  <si>
    <t>3.314 (0x15)</t>
  </si>
  <si>
    <t>1.091 (0x64)</t>
  </si>
  <si>
    <t>1.089 (0x64)</t>
  </si>
  <si>
    <t>setp/mV</t>
  </si>
  <si>
    <t>Reg</t>
  </si>
  <si>
    <t>Vout/V</t>
  </si>
  <si>
    <t>Δ/mV</t>
  </si>
  <si>
    <t>/</t>
  </si>
  <si>
    <t>A</t>
  </si>
  <si>
    <t xml:space="preserve"> a</t>
  </si>
  <si>
    <t>B</t>
  </si>
  <si>
    <t xml:space="preserve"> b</t>
  </si>
  <si>
    <t>C</t>
  </si>
  <si>
    <t xml:space="preserve"> c</t>
  </si>
  <si>
    <t>D</t>
  </si>
  <si>
    <t xml:space="preserve"> d</t>
  </si>
  <si>
    <t>E</t>
  </si>
  <si>
    <t xml:space="preserve"> e</t>
  </si>
  <si>
    <t>F</t>
  </si>
  <si>
    <t xml:space="preserve"> f</t>
  </si>
  <si>
    <t>1A</t>
  </si>
  <si>
    <t>1a</t>
  </si>
  <si>
    <t>1B</t>
  </si>
  <si>
    <t>1b</t>
  </si>
  <si>
    <t>1C</t>
  </si>
  <si>
    <t>1c</t>
  </si>
  <si>
    <t>1D</t>
  </si>
  <si>
    <t>1d</t>
  </si>
  <si>
    <t>1E</t>
  </si>
  <si>
    <t>1e</t>
  </si>
  <si>
    <t>1F</t>
  </si>
  <si>
    <t>1f</t>
  </si>
  <si>
    <t>2A</t>
  </si>
  <si>
    <t>2a</t>
  </si>
  <si>
    <t>2B</t>
  </si>
  <si>
    <t>2b</t>
  </si>
  <si>
    <t>2C</t>
  </si>
  <si>
    <t>2c</t>
  </si>
  <si>
    <t>2D</t>
  </si>
  <si>
    <t>2d</t>
  </si>
  <si>
    <t>2E</t>
  </si>
  <si>
    <t>2e</t>
  </si>
  <si>
    <t>2F</t>
  </si>
  <si>
    <t>2f</t>
  </si>
  <si>
    <t>3A</t>
  </si>
  <si>
    <t>3a</t>
  </si>
  <si>
    <t>3B</t>
  </si>
  <si>
    <t>3b</t>
  </si>
  <si>
    <t>3C</t>
  </si>
  <si>
    <t>3c</t>
  </si>
  <si>
    <t>3D</t>
  </si>
  <si>
    <t>3d</t>
  </si>
  <si>
    <t>3E</t>
  </si>
  <si>
    <t>3e</t>
  </si>
  <si>
    <t>3F</t>
  </si>
  <si>
    <t>3f</t>
  </si>
  <si>
    <t>4a</t>
  </si>
  <si>
    <t>4b</t>
  </si>
  <si>
    <t>4c</t>
  </si>
  <si>
    <t>4d</t>
  </si>
  <si>
    <t>4e</t>
  </si>
  <si>
    <t>4f</t>
  </si>
  <si>
    <t>5a</t>
  </si>
  <si>
    <t>5b</t>
  </si>
  <si>
    <t>5c</t>
  </si>
  <si>
    <t>5d</t>
  </si>
  <si>
    <t>5e</t>
  </si>
  <si>
    <t>5f</t>
  </si>
  <si>
    <t>6a</t>
  </si>
  <si>
    <t>6b</t>
  </si>
  <si>
    <t>6c</t>
  </si>
  <si>
    <t>6d</t>
  </si>
  <si>
    <t>6e</t>
  </si>
  <si>
    <t>6f</t>
  </si>
  <si>
    <t>7a</t>
  </si>
  <si>
    <t>7b</t>
  </si>
  <si>
    <t>7c</t>
  </si>
  <si>
    <t>7d</t>
  </si>
  <si>
    <t>7e</t>
  </si>
  <si>
    <t>7f</t>
  </si>
  <si>
    <t>8a</t>
  </si>
  <si>
    <t>8b</t>
  </si>
  <si>
    <t>8c</t>
  </si>
  <si>
    <t>8d</t>
  </si>
  <si>
    <t>8e</t>
  </si>
  <si>
    <t>8f</t>
  </si>
  <si>
    <t>9a</t>
  </si>
  <si>
    <t>9b</t>
  </si>
  <si>
    <t>9c</t>
  </si>
  <si>
    <t>9d</t>
  </si>
  <si>
    <t>9e</t>
  </si>
  <si>
    <t>9f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</si>
  <si>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</si>
  <si>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</si>
  <si>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</si>
  <si>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</si>
  <si>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</si>
  <si>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</si>
  <si>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</si>
  <si>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</si>
  <si>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</si>
  <si>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</si>
  <si>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aa</t>
  </si>
  <si>
    <t>ab</t>
  </si>
  <si>
    <t>ac</t>
  </si>
  <si>
    <t>ad</t>
  </si>
  <si>
    <t>ae</t>
  </si>
  <si>
    <t>af</t>
  </si>
  <si>
    <t>b0</t>
  </si>
  <si>
    <t>b1</t>
  </si>
  <si>
    <t>b2</t>
  </si>
  <si>
    <t>b3</t>
  </si>
  <si>
    <t>b4</t>
  </si>
  <si>
    <t>b5</t>
  </si>
  <si>
    <t>b6</t>
  </si>
  <si>
    <t>b7</t>
  </si>
  <si>
    <t>LDO_09</t>
  </si>
  <si>
    <t>LDO_10</t>
  </si>
  <si>
    <t>LDO_11</t>
  </si>
  <si>
    <t>LDO_12</t>
  </si>
  <si>
    <t>LDO_13</t>
  </si>
  <si>
    <t>LDO_14</t>
  </si>
  <si>
    <t>LDO_15</t>
  </si>
  <si>
    <t>1.7 (0xA0)</t>
  </si>
  <si>
    <t>1.1 (0x28)</t>
  </si>
  <si>
    <t>0.61 (0xC)</t>
  </si>
  <si>
    <t>3.3 (0x15)</t>
  </si>
  <si>
    <t>1.8 (0x06)</t>
  </si>
  <si>
    <t>b8</t>
  </si>
  <si>
    <t>b9</t>
  </si>
  <si>
    <t>ba</t>
  </si>
  <si>
    <t>bb</t>
  </si>
  <si>
    <t>bc</t>
  </si>
  <si>
    <t>bd</t>
  </si>
  <si>
    <t>be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</si>
  <si>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</si>
  <si>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</si>
  <si>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</si>
  <si>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</si>
  <si>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</si>
  <si>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</si>
  <si>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</si>
  <si>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</si>
  <si>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</si>
  <si>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</si>
  <si>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</si>
  <si>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</si>
  <si>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</si>
  <si>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</si>
  <si>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</si>
  <si>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</si>
  <si>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</si>
  <si>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</si>
  <si>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</si>
  <si>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</si>
  <si>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</si>
  <si>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</si>
  <si>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</si>
  <si>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</si>
  <si>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</si>
  <si>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</si>
  <si>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</si>
  <si>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</si>
  <si>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</si>
  <si>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</si>
  <si>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</si>
  <si>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</si>
  <si>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</si>
  <si>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</si>
  <si>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</si>
  <si>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</si>
  <si>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</si>
  <si>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</si>
  <si>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</si>
  <si>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</si>
  <si>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</si>
  <si>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</si>
  <si>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</si>
  <si>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</si>
  <si>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</si>
  <si>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</si>
  <si>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</si>
  <si>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ee</t>
  </si>
  <si>
    <t>ef</t>
  </si>
  <si>
    <t>f0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</si>
  <si>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</si>
  <si>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</si>
  <si>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</si>
  <si>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</si>
  <si>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</si>
  <si>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</si>
  <si>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</si>
  <si>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</si>
  <si>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</si>
  <si>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fa</t>
  </si>
  <si>
    <t>fb</t>
  </si>
  <si>
    <t>fc</t>
  </si>
  <si>
    <t>fd</t>
  </si>
  <si>
    <t>fe</t>
  </si>
  <si>
    <t>ff</t>
  </si>
  <si>
    <t xml:space="preserve">LDO_VMIC1 </t>
  </si>
  <si>
    <t>LDO_VMIC2</t>
  </si>
  <si>
    <t>VMEM=1.8V</t>
  </si>
  <si>
    <t>ldoa_res=4'b1010</t>
  </si>
  <si>
    <t>VMEM=1.7V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</si>
</sst>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58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Protection="0"/>
  </cellStyleXfs>
  <cellXfs count="7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A311-3B20-4560-9A86-F006B7510896}">
  <sheetPr>
    <outlinePr summaryBelow="0" summaryRight="0"/>
  </sheetPr>
  <dimension ref="A1:BS520"/>
  <sheetViews>
    <sheetView tabSelected="1" topLeftCell="AK1" workbookViewId="0">
      <selection activeCell="BE32" sqref="BE32"/>
    </sheetView>
  </sheetViews>
  <sheetFormatPr defaultColWidth="12" defaultRowHeight="15.75" x14ac:dyDescent="0.25"/>
  <cols>
    <col min="5" max="7" width="12" customWidth="1"/>
    <col min="9" max="11" width="12" customWidth="1"/>
    <col min="13" max="22" width="12" customWidth="1"/>
    <col min="23" max="23" width="16" customWidth="1"/>
    <col min="24" max="27" width="12" customWidth="1"/>
  </cols>
  <sheetData>
    <row r="1" spans="1:71" x14ac:dyDescent="0.25">
      <c r="A1" s="6" t="s">
        <v>0</v>
      </c>
      <c r="B1" s="6"/>
      <c r="C1" s="6"/>
      <c r="E1" s="6" t="s">
        <v>1</v>
      </c>
      <c r="F1" s="6"/>
      <c r="G1" s="6"/>
      <c r="I1" s="6" t="s">
        <v>2</v>
      </c>
      <c r="J1" s="6"/>
      <c r="K1" s="6"/>
      <c r="M1" s="6" t="s">
        <v>3</v>
      </c>
      <c r="N1" s="6"/>
      <c r="O1" s="6"/>
      <c r="Q1" s="6" t="s">
        <v>4</v>
      </c>
      <c r="R1" s="6"/>
      <c r="S1" s="6"/>
      <c r="T1" s="1"/>
      <c r="U1" s="6" t="s">
        <v>5</v>
      </c>
      <c r="V1" s="6"/>
      <c r="W1" s="6"/>
      <c r="Y1" s="6" t="s">
        <v>6</v>
      </c>
      <c r="Z1" s="6"/>
      <c r="AA1" s="6"/>
      <c r="AC1" s="6" t="s">
        <v>127</v>
      </c>
      <c r="AD1" s="6"/>
      <c r="AE1" s="6"/>
      <c r="AG1" s="6" t="s">
        <v>128</v>
      </c>
      <c r="AH1" s="6"/>
      <c r="AI1" s="6"/>
      <c r="AJ1" s="1"/>
      <c r="AK1" s="6" t="s">
        <v>129</v>
      </c>
      <c r="AL1" s="6"/>
      <c r="AM1" s="6"/>
      <c r="AO1" s="6" t="s">
        <v>130</v>
      </c>
      <c r="AP1" s="6"/>
      <c r="AQ1" s="6"/>
      <c r="AS1" s="6" t="s">
        <v>131</v>
      </c>
      <c r="AT1" s="6"/>
      <c r="AU1" s="6"/>
      <c r="AW1" s="6" t="s">
        <v>132</v>
      </c>
      <c r="AX1" s="6"/>
      <c r="AY1" s="6"/>
      <c r="BA1" s="6" t="s">
        <v>133</v>
      </c>
      <c r="BB1" s="6"/>
      <c r="BC1" s="6"/>
      <c r="BD1" s="1"/>
      <c r="BE1" s="6" t="s">
        <v>211</v>
      </c>
      <c r="BF1" s="6"/>
      <c r="BG1" s="6"/>
      <c r="BI1" s="6" t="s">
        <v>211</v>
      </c>
      <c r="BJ1" s="6"/>
      <c r="BK1" s="6"/>
      <c r="BM1" s="6" t="s">
        <v>212</v>
      </c>
      <c r="BN1" s="6"/>
      <c r="BO1" s="6"/>
      <c r="BQ1" s="6" t="s">
        <v>212</v>
      </c>
      <c r="BR1" s="6"/>
      <c r="BS1" s="6"/>
    </row>
    <row r="2" spans="1:71" x14ac:dyDescent="0.25">
      <c r="A2" s="5" t="s">
        <v>7</v>
      </c>
      <c r="B2" s="5"/>
      <c r="C2" s="2">
        <v>0.30299999999999999</v>
      </c>
      <c r="E2" s="5" t="s">
        <v>7</v>
      </c>
      <c r="F2" s="5"/>
      <c r="G2" s="2">
        <v>0.82</v>
      </c>
      <c r="I2" s="5" t="s">
        <v>7</v>
      </c>
      <c r="J2" s="5"/>
      <c r="K2" s="2">
        <v>1.2</v>
      </c>
      <c r="M2" s="5" t="s">
        <v>7</v>
      </c>
      <c r="N2" s="5"/>
      <c r="O2" s="2">
        <v>1.2070000000000001</v>
      </c>
      <c r="Q2" s="5" t="s">
        <v>7</v>
      </c>
      <c r="R2" s="5"/>
      <c r="S2" s="2">
        <v>0.59899999999999998</v>
      </c>
      <c r="T2" s="2"/>
      <c r="U2" s="5" t="s">
        <v>7</v>
      </c>
      <c r="V2" s="5"/>
      <c r="W2" s="2">
        <v>0.6</v>
      </c>
      <c r="Y2" s="5" t="s">
        <v>7</v>
      </c>
      <c r="Z2" s="5"/>
      <c r="AA2" s="2">
        <v>0.59750000000000003</v>
      </c>
      <c r="AC2" s="5" t="s">
        <v>7</v>
      </c>
      <c r="AD2" s="5"/>
      <c r="AE2" s="2">
        <v>0.89929999999999999</v>
      </c>
      <c r="AG2" s="5" t="s">
        <v>7</v>
      </c>
      <c r="AH2" s="5"/>
      <c r="AI2" s="2">
        <v>0.90110000000000001</v>
      </c>
      <c r="AJ2" s="2"/>
      <c r="AK2" s="5" t="s">
        <v>7</v>
      </c>
      <c r="AL2" s="5"/>
      <c r="AM2" s="2">
        <v>0.9</v>
      </c>
      <c r="AO2" s="5" t="s">
        <v>7</v>
      </c>
      <c r="AP2" s="5"/>
      <c r="AQ2" s="2">
        <v>0.32490000000000002</v>
      </c>
      <c r="AS2" s="5" t="s">
        <v>7</v>
      </c>
      <c r="AT2" s="5"/>
      <c r="AU2" s="2">
        <v>1.2</v>
      </c>
      <c r="AW2" s="5" t="s">
        <v>7</v>
      </c>
      <c r="AX2" s="5"/>
      <c r="AY2" s="2">
        <v>1.2</v>
      </c>
      <c r="BA2" s="5" t="s">
        <v>7</v>
      </c>
      <c r="BB2" s="5"/>
      <c r="BC2" s="2">
        <v>1.2</v>
      </c>
      <c r="BD2" s="2"/>
      <c r="BE2" s="1" t="s">
        <v>213</v>
      </c>
      <c r="BF2" s="1" t="s">
        <v>214</v>
      </c>
      <c r="BG2" s="1"/>
      <c r="BI2" s="1" t="s">
        <v>215</v>
      </c>
      <c r="BJ2" s="1" t="s">
        <v>214</v>
      </c>
      <c r="BK2" s="1"/>
      <c r="BM2" s="1" t="s">
        <v>213</v>
      </c>
      <c r="BN2" s="1" t="s">
        <v>214</v>
      </c>
      <c r="BO2" s="1"/>
      <c r="BQ2" s="1" t="s">
        <v>215</v>
      </c>
      <c r="BR2" s="1" t="s">
        <v>214</v>
      </c>
      <c r="BS2" s="1"/>
    </row>
    <row r="3" spans="1:71" x14ac:dyDescent="0.25">
      <c r="A3" s="5" t="s">
        <v>8</v>
      </c>
      <c r="B3" s="5"/>
      <c r="C3" s="2">
        <v>1.8859999999999999</v>
      </c>
      <c r="E3" s="5" t="s">
        <v>8</v>
      </c>
      <c r="F3" s="5"/>
      <c r="G3" s="2">
        <v>1.8049999999999999</v>
      </c>
      <c r="I3" s="5" t="s">
        <v>8</v>
      </c>
      <c r="J3" s="5"/>
      <c r="K3" s="2">
        <v>2.2000000000000002</v>
      </c>
      <c r="M3" s="5" t="s">
        <v>8</v>
      </c>
      <c r="N3" s="5"/>
      <c r="O3" s="2">
        <v>3.7120000000000002</v>
      </c>
      <c r="Q3" s="5" t="s">
        <v>8</v>
      </c>
      <c r="R3" s="5"/>
      <c r="S3" s="2">
        <v>1.22</v>
      </c>
      <c r="T3" s="2"/>
      <c r="U3" s="5" t="s">
        <v>8</v>
      </c>
      <c r="V3" s="5"/>
      <c r="W3" s="2" t="s">
        <v>9</v>
      </c>
      <c r="Y3" s="5" t="s">
        <v>8</v>
      </c>
      <c r="Z3" s="5"/>
      <c r="AA3" s="2">
        <v>1.4997</v>
      </c>
      <c r="AC3" s="5" t="s">
        <v>8</v>
      </c>
      <c r="AD3" s="5"/>
      <c r="AE3" s="2">
        <v>2.0905</v>
      </c>
      <c r="AG3" s="5" t="s">
        <v>8</v>
      </c>
      <c r="AH3" s="5"/>
      <c r="AI3" s="2">
        <v>2.11</v>
      </c>
      <c r="AJ3" s="2"/>
      <c r="AK3" s="5" t="s">
        <v>8</v>
      </c>
      <c r="AL3" s="5"/>
      <c r="AM3" s="2">
        <v>2.17</v>
      </c>
      <c r="AO3" s="5" t="s">
        <v>8</v>
      </c>
      <c r="AP3" s="5"/>
      <c r="AQ3" s="2">
        <v>1.1000000000000001</v>
      </c>
      <c r="AS3" s="5" t="s">
        <v>8</v>
      </c>
      <c r="AT3" s="5"/>
      <c r="AU3" s="2">
        <v>4.3</v>
      </c>
      <c r="AW3" s="5" t="s">
        <v>8</v>
      </c>
      <c r="AX3" s="5"/>
      <c r="AY3" s="2">
        <v>4.3</v>
      </c>
      <c r="BA3" s="5" t="s">
        <v>8</v>
      </c>
      <c r="BB3" s="5"/>
      <c r="BC3" s="2">
        <v>4.3</v>
      </c>
      <c r="BD3" s="2"/>
      <c r="BE3" s="5" t="s">
        <v>7</v>
      </c>
      <c r="BF3" s="5"/>
      <c r="BG3" s="2">
        <v>1.0720000000000001</v>
      </c>
      <c r="BI3" s="5" t="s">
        <v>7</v>
      </c>
      <c r="BJ3" s="5"/>
      <c r="BK3" s="1">
        <v>1.0123</v>
      </c>
      <c r="BM3" s="5" t="s">
        <v>7</v>
      </c>
      <c r="BN3" s="5"/>
      <c r="BO3" s="1">
        <v>1.0711999999999999</v>
      </c>
      <c r="BQ3" s="5" t="s">
        <v>7</v>
      </c>
      <c r="BR3" s="5"/>
      <c r="BS3" s="1">
        <v>1.0114000000000001</v>
      </c>
    </row>
    <row r="4" spans="1:71" ht="18" customHeight="1" x14ac:dyDescent="0.25">
      <c r="A4" s="5" t="s">
        <v>10</v>
      </c>
      <c r="B4" s="5"/>
      <c r="C4" s="2"/>
      <c r="E4" s="2"/>
      <c r="F4" s="2"/>
      <c r="G4" s="2"/>
      <c r="I4" s="5" t="s">
        <v>10</v>
      </c>
      <c r="J4" s="5"/>
      <c r="K4" s="2"/>
      <c r="M4" s="5" t="s">
        <v>10</v>
      </c>
      <c r="N4" s="5"/>
      <c r="O4" s="2" t="s">
        <v>11</v>
      </c>
      <c r="Q4" s="5" t="s">
        <v>10</v>
      </c>
      <c r="R4" s="5"/>
      <c r="S4" s="2"/>
      <c r="T4" s="2"/>
      <c r="U4" s="5" t="s">
        <v>10</v>
      </c>
      <c r="V4" s="5"/>
      <c r="W4" s="2" t="s">
        <v>12</v>
      </c>
      <c r="Y4" s="5" t="s">
        <v>10</v>
      </c>
      <c r="Z4" s="5"/>
      <c r="AA4" s="2" t="s">
        <v>13</v>
      </c>
      <c r="AC4" s="5" t="s">
        <v>10</v>
      </c>
      <c r="AD4" s="5"/>
      <c r="AE4" s="2" t="s">
        <v>134</v>
      </c>
      <c r="AG4" s="5" t="s">
        <v>10</v>
      </c>
      <c r="AH4" s="5"/>
      <c r="AI4" s="2" t="s">
        <v>135</v>
      </c>
      <c r="AJ4" s="2"/>
      <c r="AK4" s="5" t="s">
        <v>10</v>
      </c>
      <c r="AL4" s="5"/>
      <c r="AM4" s="2" t="s">
        <v>135</v>
      </c>
      <c r="AO4" s="5" t="s">
        <v>10</v>
      </c>
      <c r="AP4" s="5"/>
      <c r="AQ4" s="2" t="s">
        <v>136</v>
      </c>
      <c r="AS4" s="5" t="s">
        <v>10</v>
      </c>
      <c r="AT4" s="5"/>
      <c r="AU4" s="2" t="s">
        <v>137</v>
      </c>
      <c r="AW4" s="5" t="s">
        <v>10</v>
      </c>
      <c r="AX4" s="5"/>
      <c r="AY4" s="2" t="s">
        <v>138</v>
      </c>
      <c r="BA4" s="5" t="s">
        <v>10</v>
      </c>
      <c r="BB4" s="5"/>
      <c r="BC4" s="2" t="s">
        <v>138</v>
      </c>
      <c r="BD4" s="2"/>
      <c r="BE4" s="5" t="s">
        <v>8</v>
      </c>
      <c r="BF4" s="5"/>
      <c r="BG4" s="2">
        <v>3.21</v>
      </c>
      <c r="BI4" s="5" t="s">
        <v>8</v>
      </c>
      <c r="BJ4" s="5"/>
      <c r="BK4" s="1">
        <v>3.1791</v>
      </c>
      <c r="BM4" s="5" t="s">
        <v>8</v>
      </c>
      <c r="BN4" s="5"/>
      <c r="BO4" s="1">
        <v>3.2242000000000002</v>
      </c>
      <c r="BQ4" s="5" t="s">
        <v>8</v>
      </c>
      <c r="BR4" s="5"/>
      <c r="BS4" s="1">
        <v>3.1751</v>
      </c>
    </row>
    <row r="5" spans="1:71" x14ac:dyDescent="0.25">
      <c r="A5" s="5" t="s">
        <v>14</v>
      </c>
      <c r="B5" s="5"/>
      <c r="C5" s="2">
        <v>25.13</v>
      </c>
      <c r="E5" s="5" t="s">
        <v>14</v>
      </c>
      <c r="F5" s="5"/>
      <c r="G5" s="2">
        <v>98.56</v>
      </c>
      <c r="I5" s="5" t="s">
        <v>14</v>
      </c>
      <c r="J5" s="5"/>
      <c r="K5" s="2">
        <v>99.48</v>
      </c>
      <c r="M5" s="5" t="s">
        <v>14</v>
      </c>
      <c r="N5" s="5"/>
      <c r="O5" s="2">
        <v>100</v>
      </c>
      <c r="Q5" s="5" t="s">
        <v>14</v>
      </c>
      <c r="R5" s="5"/>
      <c r="S5" s="2">
        <v>24.8</v>
      </c>
      <c r="T5" s="2"/>
      <c r="U5" s="5" t="s">
        <v>14</v>
      </c>
      <c r="V5" s="5"/>
      <c r="W5" s="2">
        <v>4.9384615384615396</v>
      </c>
      <c r="Y5" s="5" t="s">
        <v>14</v>
      </c>
      <c r="Z5" s="5"/>
      <c r="AA5" s="2">
        <v>4.9571428571428608</v>
      </c>
      <c r="AC5" s="5" t="s">
        <v>14</v>
      </c>
      <c r="AD5" s="5"/>
      <c r="AE5" s="2">
        <v>4.9841004184100361</v>
      </c>
      <c r="AG5" s="5" t="s">
        <v>14</v>
      </c>
      <c r="AH5" s="5"/>
      <c r="AI5" s="2">
        <v>4.9693877551020407</v>
      </c>
      <c r="AJ5" s="2"/>
      <c r="AK5" s="5" t="s">
        <v>14</v>
      </c>
      <c r="AL5" s="5"/>
      <c r="AM5" s="2">
        <v>4.991372549019605</v>
      </c>
      <c r="AO5" s="5" t="s">
        <v>14</v>
      </c>
      <c r="AP5" s="5"/>
      <c r="AQ5" s="2">
        <v>24.9709677419355</v>
      </c>
      <c r="AS5" s="5" t="s">
        <v>14</v>
      </c>
      <c r="AT5" s="5"/>
      <c r="AU5" s="2">
        <v>99.928571428571431</v>
      </c>
      <c r="AW5" s="5" t="s">
        <v>14</v>
      </c>
      <c r="AX5" s="5"/>
      <c r="AY5" s="2">
        <v>99.851612903225785</v>
      </c>
      <c r="BA5" s="5" t="s">
        <v>14</v>
      </c>
      <c r="BB5" s="5"/>
      <c r="BC5" s="2">
        <v>99.558064516129036</v>
      </c>
      <c r="BD5" s="2"/>
      <c r="BE5" s="5" t="s">
        <v>10</v>
      </c>
      <c r="BF5" s="5"/>
      <c r="BG5" s="2"/>
      <c r="BI5" s="5" t="s">
        <v>10</v>
      </c>
      <c r="BJ5" s="5"/>
      <c r="BK5" s="2"/>
      <c r="BM5" s="5" t="s">
        <v>10</v>
      </c>
      <c r="BN5" s="5"/>
      <c r="BO5" s="2">
        <v>2.3639999999999999</v>
      </c>
      <c r="BQ5" s="5" t="s">
        <v>10</v>
      </c>
      <c r="BR5" s="5"/>
      <c r="BS5" s="2">
        <v>2.2330000000000001</v>
      </c>
    </row>
    <row r="6" spans="1:71" ht="18" customHeight="1" x14ac:dyDescent="0.25">
      <c r="A6" s="2"/>
      <c r="B6" s="2"/>
      <c r="C6" s="2"/>
      <c r="E6" s="2"/>
      <c r="F6" s="2"/>
      <c r="G6" s="2"/>
      <c r="I6" s="2"/>
      <c r="J6" s="2"/>
      <c r="K6" s="2"/>
      <c r="M6" s="2"/>
      <c r="N6" s="2"/>
      <c r="O6" s="2"/>
      <c r="Q6" s="2"/>
      <c r="R6" s="2"/>
      <c r="S6" s="2"/>
      <c r="T6" s="2"/>
      <c r="U6" s="2"/>
      <c r="V6" s="2"/>
      <c r="W6" s="2"/>
      <c r="Y6" s="2"/>
      <c r="Z6" s="2"/>
      <c r="AA6" s="2"/>
      <c r="AC6" s="2"/>
      <c r="AD6" s="2"/>
      <c r="AE6" s="2"/>
      <c r="AG6" s="2"/>
      <c r="AH6" s="2"/>
      <c r="AI6" s="2"/>
      <c r="AJ6" s="2"/>
      <c r="AK6" s="2"/>
      <c r="AL6" s="2"/>
      <c r="AM6" s="2"/>
      <c r="AO6" s="2"/>
      <c r="AP6" s="2"/>
      <c r="AQ6" s="2"/>
      <c r="AS6" s="2"/>
      <c r="AT6" s="2"/>
      <c r="AU6" s="2"/>
      <c r="BE6" s="5" t="s">
        <v>14</v>
      </c>
      <c r="BF6" s="5"/>
      <c r="BG6" s="2">
        <v>143.05624999999998</v>
      </c>
      <c r="BI6" s="5" t="s">
        <v>14</v>
      </c>
      <c r="BJ6" s="5"/>
      <c r="BK6" s="2">
        <v>135.38235294117646</v>
      </c>
      <c r="BM6" s="5" t="s">
        <v>14</v>
      </c>
      <c r="BN6" s="5"/>
      <c r="BO6" s="2">
        <v>143.53333333333336</v>
      </c>
      <c r="BQ6" s="5" t="s">
        <v>14</v>
      </c>
      <c r="BR6" s="5"/>
      <c r="BS6" s="2">
        <v>135.19411764705879</v>
      </c>
    </row>
    <row r="7" spans="1:71" x14ac:dyDescent="0.25">
      <c r="A7" s="2" t="s">
        <v>15</v>
      </c>
      <c r="B7" s="2" t="s">
        <v>16</v>
      </c>
      <c r="C7" s="2" t="s">
        <v>17</v>
      </c>
      <c r="E7" s="2" t="s">
        <v>15</v>
      </c>
      <c r="F7" s="2" t="s">
        <v>16</v>
      </c>
      <c r="G7" s="2" t="s">
        <v>17</v>
      </c>
      <c r="I7" s="2" t="s">
        <v>15</v>
      </c>
      <c r="J7" s="2" t="s">
        <v>16</v>
      </c>
      <c r="K7" s="2" t="s">
        <v>17</v>
      </c>
      <c r="M7" s="2" t="s">
        <v>15</v>
      </c>
      <c r="N7" s="2" t="s">
        <v>16</v>
      </c>
      <c r="O7" s="2" t="s">
        <v>17</v>
      </c>
      <c r="Q7" s="2" t="s">
        <v>15</v>
      </c>
      <c r="R7" s="2" t="s">
        <v>16</v>
      </c>
      <c r="S7" s="2" t="s">
        <v>17</v>
      </c>
      <c r="T7" s="2"/>
      <c r="U7" s="2" t="s">
        <v>15</v>
      </c>
      <c r="V7" s="2" t="s">
        <v>16</v>
      </c>
      <c r="W7" s="2" t="s">
        <v>17</v>
      </c>
      <c r="Y7" s="2" t="s">
        <v>15</v>
      </c>
      <c r="Z7" s="2" t="s">
        <v>16</v>
      </c>
      <c r="AA7" s="2" t="s">
        <v>17</v>
      </c>
      <c r="AC7" s="2" t="s">
        <v>15</v>
      </c>
      <c r="AD7" s="2" t="s">
        <v>16</v>
      </c>
      <c r="AE7" s="2" t="s">
        <v>17</v>
      </c>
      <c r="AG7" s="2" t="s">
        <v>15</v>
      </c>
      <c r="AH7" s="2" t="s">
        <v>16</v>
      </c>
      <c r="AI7" s="2" t="s">
        <v>17</v>
      </c>
      <c r="AJ7" s="2"/>
      <c r="AK7" s="2" t="s">
        <v>15</v>
      </c>
      <c r="AL7" s="2" t="s">
        <v>16</v>
      </c>
      <c r="AM7" s="2" t="s">
        <v>17</v>
      </c>
      <c r="AO7" s="2" t="s">
        <v>15</v>
      </c>
      <c r="AP7" s="2" t="s">
        <v>16</v>
      </c>
      <c r="AQ7" s="2" t="s">
        <v>17</v>
      </c>
      <c r="AS7" s="2" t="s">
        <v>15</v>
      </c>
      <c r="AT7" s="2" t="s">
        <v>16</v>
      </c>
      <c r="AU7" s="2" t="s">
        <v>17</v>
      </c>
      <c r="AW7" s="2" t="s">
        <v>15</v>
      </c>
      <c r="AX7" s="2" t="s">
        <v>16</v>
      </c>
      <c r="AY7" s="2" t="s">
        <v>17</v>
      </c>
      <c r="BA7" s="2" t="s">
        <v>15</v>
      </c>
      <c r="BB7" s="2" t="s">
        <v>16</v>
      </c>
      <c r="BC7" s="2" t="s">
        <v>17</v>
      </c>
      <c r="BD7" s="2"/>
      <c r="BE7" s="2"/>
      <c r="BF7" s="2"/>
      <c r="BG7" s="2"/>
      <c r="BI7" s="2"/>
      <c r="BJ7" s="2"/>
      <c r="BK7" s="2"/>
      <c r="BM7" s="2"/>
      <c r="BN7" s="2"/>
      <c r="BO7" s="2"/>
      <c r="BQ7" s="2"/>
      <c r="BR7" s="2"/>
      <c r="BS7" s="2"/>
    </row>
    <row r="8" spans="1:71" x14ac:dyDescent="0.25">
      <c r="A8" s="2">
        <v>0</v>
      </c>
      <c r="B8" s="2">
        <v>0.30299999999999999</v>
      </c>
      <c r="C8" s="2" t="s">
        <v>18</v>
      </c>
      <c r="E8" s="2">
        <v>0</v>
      </c>
      <c r="F8" s="2">
        <v>0.81950000000000001</v>
      </c>
      <c r="G8" s="2" t="s">
        <v>18</v>
      </c>
      <c r="I8" s="2">
        <v>0</v>
      </c>
      <c r="J8" s="2">
        <v>1.1978</v>
      </c>
      <c r="K8" s="2" t="s">
        <v>18</v>
      </c>
      <c r="M8" s="2">
        <v>0</v>
      </c>
      <c r="N8" s="2">
        <v>1.2070000000000001</v>
      </c>
      <c r="O8" s="2" t="s">
        <v>18</v>
      </c>
      <c r="Q8" s="2">
        <v>0</v>
      </c>
      <c r="R8" s="2">
        <v>0.59850000000000003</v>
      </c>
      <c r="S8" s="2" t="s">
        <v>18</v>
      </c>
      <c r="T8" s="2"/>
      <c r="U8" s="2">
        <v>0</v>
      </c>
      <c r="V8" s="2">
        <v>0.59550000000000003</v>
      </c>
      <c r="W8" s="2" t="s">
        <v>18</v>
      </c>
      <c r="Y8" s="2">
        <v>0</v>
      </c>
      <c r="Z8" s="2">
        <v>0.59750000000000003</v>
      </c>
      <c r="AA8" s="2" t="s">
        <v>18</v>
      </c>
      <c r="AC8" s="2">
        <v>0</v>
      </c>
      <c r="AD8" s="2">
        <v>0.89929999999999999</v>
      </c>
      <c r="AE8" s="2" t="s">
        <v>18</v>
      </c>
      <c r="AG8" s="2">
        <v>0</v>
      </c>
      <c r="AH8" s="2">
        <v>0.90110000000000001</v>
      </c>
      <c r="AI8" s="2" t="s">
        <v>18</v>
      </c>
      <c r="AJ8" s="2"/>
      <c r="AK8" s="2">
        <v>0</v>
      </c>
      <c r="AL8" s="2">
        <v>0.90090000000000003</v>
      </c>
      <c r="AM8" s="2" t="s">
        <v>18</v>
      </c>
      <c r="AO8" s="2">
        <v>0</v>
      </c>
      <c r="AP8" s="2">
        <v>0.32490000000000002</v>
      </c>
      <c r="AQ8" s="2" t="s">
        <v>18</v>
      </c>
      <c r="AS8" s="2">
        <v>0</v>
      </c>
      <c r="AT8" s="2">
        <v>1.2023999999999999</v>
      </c>
      <c r="AU8" s="2" t="s">
        <v>18</v>
      </c>
      <c r="AW8" s="2">
        <v>0</v>
      </c>
      <c r="AX8" s="2">
        <v>1.2035</v>
      </c>
      <c r="AY8" s="2" t="s">
        <v>18</v>
      </c>
      <c r="BA8" s="2">
        <v>0</v>
      </c>
      <c r="BB8" s="2">
        <v>1.1989000000000001</v>
      </c>
      <c r="BC8" s="2" t="s">
        <v>18</v>
      </c>
      <c r="BD8" s="2"/>
      <c r="BE8" s="2" t="s">
        <v>15</v>
      </c>
      <c r="BF8" s="2" t="s">
        <v>16</v>
      </c>
      <c r="BG8" s="2" t="s">
        <v>17</v>
      </c>
      <c r="BI8" s="2" t="s">
        <v>15</v>
      </c>
      <c r="BJ8" s="2" t="s">
        <v>16</v>
      </c>
      <c r="BK8" s="2" t="s">
        <v>17</v>
      </c>
      <c r="BM8" s="2" t="s">
        <v>15</v>
      </c>
      <c r="BN8" s="2" t="s">
        <v>16</v>
      </c>
      <c r="BO8" s="2" t="s">
        <v>17</v>
      </c>
      <c r="BQ8" s="2" t="s">
        <v>15</v>
      </c>
      <c r="BR8" s="2" t="s">
        <v>16</v>
      </c>
      <c r="BS8" s="2" t="s">
        <v>17</v>
      </c>
    </row>
    <row r="9" spans="1:71" x14ac:dyDescent="0.25">
      <c r="A9" s="2">
        <v>1</v>
      </c>
      <c r="B9" s="2">
        <v>0.33210000000000001</v>
      </c>
      <c r="C9" s="2">
        <f t="shared" ref="C9:C71" si="0">1000*(B9-B8)</f>
        <v>29.100000000000016</v>
      </c>
      <c r="E9" s="2">
        <v>1</v>
      </c>
      <c r="F9" s="2">
        <v>0.91620000000000001</v>
      </c>
      <c r="G9" s="2">
        <f t="shared" ref="G9:G18" si="1">1000*(F9-F8)</f>
        <v>96.7</v>
      </c>
      <c r="I9" s="2">
        <v>1</v>
      </c>
      <c r="J9" s="2">
        <v>1.2982</v>
      </c>
      <c r="K9" s="2">
        <f t="shared" ref="K9:K18" si="2">1000*(J9-J8)</f>
        <v>100.40000000000005</v>
      </c>
      <c r="M9" s="2">
        <v>1</v>
      </c>
      <c r="N9" s="2">
        <v>1.3080000000000001</v>
      </c>
      <c r="O9" s="2">
        <f t="shared" ref="O9:O33" si="3">1000*(N9-N8)</f>
        <v>100.99999999999997</v>
      </c>
      <c r="Q9" s="2">
        <v>1</v>
      </c>
      <c r="R9" s="2">
        <v>0.62329999999999997</v>
      </c>
      <c r="S9" s="2">
        <f t="shared" ref="S9:S33" si="4">1000*(R9-R8)</f>
        <v>24.799999999999933</v>
      </c>
      <c r="T9" s="2"/>
      <c r="U9" s="2">
        <v>1</v>
      </c>
      <c r="V9" s="2">
        <v>0.60019999999999996</v>
      </c>
      <c r="W9" s="2">
        <f t="shared" ref="W9:W191" si="5">1000*(V9-V8)</f>
        <v>4.6999999999999265</v>
      </c>
      <c r="Y9" s="2">
        <v>1</v>
      </c>
      <c r="Z9" s="2">
        <v>0.60229999999999995</v>
      </c>
      <c r="AA9" s="2">
        <f t="shared" ref="AA9:AA190" si="6">1000*(Z9-Z8)</f>
        <v>4.7999999999999154</v>
      </c>
      <c r="AC9" s="2">
        <v>1</v>
      </c>
      <c r="AD9" s="2">
        <v>0.9042</v>
      </c>
      <c r="AE9" s="2">
        <f t="shared" ref="AE9:AE247" si="7">1000*(AD9-AD8)</f>
        <v>4.9000000000000155</v>
      </c>
      <c r="AG9" s="2">
        <v>1</v>
      </c>
      <c r="AH9" s="2">
        <v>0.90610000000000002</v>
      </c>
      <c r="AI9" s="2">
        <f t="shared" ref="AI9:AI253" si="8">1000*(AH9-AH8)</f>
        <v>5.0000000000000044</v>
      </c>
      <c r="AJ9" s="2"/>
      <c r="AK9" s="2">
        <v>1</v>
      </c>
      <c r="AL9" s="2">
        <v>0.90580000000000005</v>
      </c>
      <c r="AM9" s="2">
        <f t="shared" ref="AM9:AM263" si="9">1000*(AL9-AL8)</f>
        <v>4.9000000000000155</v>
      </c>
      <c r="AO9" s="2">
        <v>1</v>
      </c>
      <c r="AP9" s="2">
        <v>0.33550000000000002</v>
      </c>
      <c r="AQ9" s="2">
        <f t="shared" ref="AQ9:AQ39" si="10">1000*(AP9-AP8)</f>
        <v>10.599999999999998</v>
      </c>
      <c r="AS9" s="2">
        <v>1</v>
      </c>
      <c r="AT9" s="2">
        <v>1.3026</v>
      </c>
      <c r="AU9" s="2">
        <f t="shared" ref="AU9:AU36" si="11">1000*(AT9-AT8)</f>
        <v>100.20000000000007</v>
      </c>
      <c r="AW9" s="2">
        <v>1</v>
      </c>
      <c r="AX9" s="2">
        <v>1.3041</v>
      </c>
      <c r="AY9" s="2">
        <f>1000*(AX9-AX8)</f>
        <v>100.60000000000002</v>
      </c>
      <c r="BA9" s="2">
        <v>1</v>
      </c>
      <c r="BB9" s="2">
        <v>1.2990999999999999</v>
      </c>
      <c r="BC9" s="2">
        <f>1000*(BB9-BB8)</f>
        <v>100.19999999999985</v>
      </c>
      <c r="BD9" s="2"/>
      <c r="BE9" s="1">
        <v>0</v>
      </c>
      <c r="BF9" s="1">
        <v>1.0719000000000001</v>
      </c>
      <c r="BG9" s="1" t="s">
        <v>18</v>
      </c>
      <c r="BI9" s="1">
        <v>0</v>
      </c>
      <c r="BJ9" s="1">
        <v>1.0123</v>
      </c>
      <c r="BK9" s="1" t="s">
        <v>18</v>
      </c>
      <c r="BM9" s="1">
        <v>0</v>
      </c>
      <c r="BN9" s="1">
        <v>1.0711999999999999</v>
      </c>
      <c r="BO9" s="1" t="s">
        <v>18</v>
      </c>
      <c r="BQ9" s="1">
        <v>0</v>
      </c>
      <c r="BR9" s="1">
        <v>1.0114000000000001</v>
      </c>
      <c r="BS9" s="1" t="s">
        <v>18</v>
      </c>
    </row>
    <row r="10" spans="1:71" x14ac:dyDescent="0.25">
      <c r="A10" s="2">
        <v>2</v>
      </c>
      <c r="B10" s="2">
        <v>0.3569</v>
      </c>
      <c r="C10" s="2">
        <f t="shared" si="0"/>
        <v>24.79999999999999</v>
      </c>
      <c r="E10" s="2">
        <v>2</v>
      </c>
      <c r="F10" s="2">
        <v>1.0139</v>
      </c>
      <c r="G10" s="2">
        <f t="shared" si="1"/>
        <v>97.7</v>
      </c>
      <c r="I10" s="2">
        <v>2</v>
      </c>
      <c r="J10" s="2">
        <v>1.3984000000000001</v>
      </c>
      <c r="K10" s="2">
        <f t="shared" si="2"/>
        <v>100.20000000000007</v>
      </c>
      <c r="M10" s="2">
        <v>2</v>
      </c>
      <c r="N10" s="2">
        <v>1.4079999999999999</v>
      </c>
      <c r="O10" s="2">
        <f t="shared" si="3"/>
        <v>99.999999999999872</v>
      </c>
      <c r="Q10" s="2">
        <v>2</v>
      </c>
      <c r="R10" s="2">
        <v>0.64859999999999995</v>
      </c>
      <c r="S10" s="2">
        <f t="shared" si="4"/>
        <v>25.29999999999999</v>
      </c>
      <c r="T10" s="2"/>
      <c r="U10" s="2">
        <v>2</v>
      </c>
      <c r="V10" s="2">
        <v>0.60540000000000005</v>
      </c>
      <c r="W10" s="2">
        <f t="shared" si="5"/>
        <v>5.2000000000000934</v>
      </c>
      <c r="Y10" s="2">
        <v>2</v>
      </c>
      <c r="Z10" s="2">
        <v>0.60740000000000005</v>
      </c>
      <c r="AA10" s="2">
        <f t="shared" si="6"/>
        <v>5.1000000000001044</v>
      </c>
      <c r="AC10" s="2">
        <v>2</v>
      </c>
      <c r="AD10" s="2">
        <v>0.90910000000000002</v>
      </c>
      <c r="AE10" s="2">
        <f t="shared" si="7"/>
        <v>4.9000000000000155</v>
      </c>
      <c r="AG10" s="2">
        <v>2</v>
      </c>
      <c r="AH10" s="2">
        <v>0.91110000000000002</v>
      </c>
      <c r="AI10" s="2">
        <f t="shared" si="8"/>
        <v>5.0000000000000044</v>
      </c>
      <c r="AJ10" s="2"/>
      <c r="AK10" s="2">
        <v>2</v>
      </c>
      <c r="AL10" s="2">
        <v>0.91080000000000005</v>
      </c>
      <c r="AM10" s="2">
        <f t="shared" si="9"/>
        <v>5.0000000000000044</v>
      </c>
      <c r="AO10" s="2">
        <v>2</v>
      </c>
      <c r="AP10" s="2">
        <v>0.36609999999999998</v>
      </c>
      <c r="AQ10" s="2">
        <f t="shared" si="10"/>
        <v>30.599999999999959</v>
      </c>
      <c r="AS10" s="2">
        <v>2</v>
      </c>
      <c r="AT10" s="2">
        <v>1.4029</v>
      </c>
      <c r="AU10" s="2">
        <f t="shared" si="11"/>
        <v>100.30000000000005</v>
      </c>
      <c r="AW10" s="2">
        <v>2</v>
      </c>
      <c r="AX10" s="2">
        <v>1.4040999999999999</v>
      </c>
      <c r="AY10" s="2">
        <f t="shared" ref="AY9:AY39" si="12">1000*(AX10-AX9)</f>
        <v>99.999999999999872</v>
      </c>
      <c r="BA10" s="2">
        <v>2</v>
      </c>
      <c r="BB10" s="2">
        <v>1.3978999999999999</v>
      </c>
      <c r="BC10" s="2">
        <f t="shared" ref="BC10:BC39" si="13">1000*(BB10-BB9)</f>
        <v>98.8</v>
      </c>
      <c r="BD10" s="2"/>
      <c r="BE10" s="1">
        <v>1</v>
      </c>
      <c r="BF10" s="1">
        <v>1.2153</v>
      </c>
      <c r="BG10" s="1">
        <f t="shared" ref="BG10:BG25" si="14">BF10-BF9</f>
        <v>0.14339999999999997</v>
      </c>
      <c r="BI10" s="1">
        <v>1</v>
      </c>
      <c r="BJ10" s="1">
        <v>1.1476</v>
      </c>
      <c r="BK10" s="1">
        <f t="shared" ref="BK10:BK26" si="15">BJ10-BJ9</f>
        <v>0.13529999999999998</v>
      </c>
      <c r="BM10" s="1">
        <v>1</v>
      </c>
      <c r="BN10" s="1">
        <v>1.2144999999999999</v>
      </c>
      <c r="BO10" s="1">
        <f t="shared" ref="BO10:BO24" si="16">BN10-BN9</f>
        <v>0.14329999999999998</v>
      </c>
      <c r="BQ10" s="1">
        <v>1</v>
      </c>
      <c r="BR10" s="1">
        <v>1.1466000000000001</v>
      </c>
      <c r="BS10" s="1">
        <f t="shared" ref="BS10:BS26" si="17">BR10-BR9</f>
        <v>0.13519999999999999</v>
      </c>
    </row>
    <row r="11" spans="1:71" x14ac:dyDescent="0.25">
      <c r="A11" s="2">
        <v>3</v>
      </c>
      <c r="B11" s="2">
        <v>0.38150000000000001</v>
      </c>
      <c r="C11" s="2">
        <f t="shared" si="0"/>
        <v>24.600000000000012</v>
      </c>
      <c r="E11" s="2">
        <v>3</v>
      </c>
      <c r="F11" s="2">
        <v>1.1124000000000001</v>
      </c>
      <c r="G11" s="2">
        <f t="shared" si="1"/>
        <v>98.500000000000028</v>
      </c>
      <c r="I11" s="2">
        <v>3</v>
      </c>
      <c r="J11" s="2">
        <v>1.4990000000000001</v>
      </c>
      <c r="K11" s="2">
        <f t="shared" si="2"/>
        <v>100.60000000000002</v>
      </c>
      <c r="M11" s="2">
        <v>3</v>
      </c>
      <c r="N11" s="2">
        <v>1.508</v>
      </c>
      <c r="O11" s="2">
        <f t="shared" si="3"/>
        <v>100.00000000000009</v>
      </c>
      <c r="Q11" s="2">
        <v>3</v>
      </c>
      <c r="R11" s="2">
        <v>0.6734</v>
      </c>
      <c r="S11" s="2">
        <f t="shared" si="4"/>
        <v>24.800000000000043</v>
      </c>
      <c r="T11" s="2"/>
      <c r="U11" s="2">
        <v>3</v>
      </c>
      <c r="V11" s="2">
        <v>0.61019999999999996</v>
      </c>
      <c r="W11" s="2">
        <f t="shared" si="5"/>
        <v>4.7999999999999154</v>
      </c>
      <c r="Y11" s="2">
        <v>3</v>
      </c>
      <c r="Z11" s="2">
        <v>0.61219999999999997</v>
      </c>
      <c r="AA11" s="2">
        <f t="shared" si="6"/>
        <v>4.7999999999999154</v>
      </c>
      <c r="AC11" s="2">
        <v>3</v>
      </c>
      <c r="AD11" s="2">
        <v>0.91410000000000002</v>
      </c>
      <c r="AE11" s="2">
        <f t="shared" si="7"/>
        <v>5.0000000000000044</v>
      </c>
      <c r="AG11" s="2">
        <v>3</v>
      </c>
      <c r="AH11" s="2">
        <v>0.91620000000000001</v>
      </c>
      <c r="AI11" s="2">
        <f t="shared" si="8"/>
        <v>5.0999999999999934</v>
      </c>
      <c r="AJ11" s="2"/>
      <c r="AK11" s="2">
        <v>3</v>
      </c>
      <c r="AL11" s="2">
        <v>0.91569999999999996</v>
      </c>
      <c r="AM11" s="2">
        <f t="shared" si="9"/>
        <v>4.8999999999999044</v>
      </c>
      <c r="AO11" s="2">
        <v>3</v>
      </c>
      <c r="AP11" s="2">
        <v>0.38969999999999999</v>
      </c>
      <c r="AQ11" s="2">
        <f t="shared" si="10"/>
        <v>23.600000000000009</v>
      </c>
      <c r="AS11" s="2">
        <v>3</v>
      </c>
      <c r="AT11" s="2">
        <v>1.5026999999999999</v>
      </c>
      <c r="AU11" s="2">
        <f t="shared" si="11"/>
        <v>99.799999999999883</v>
      </c>
      <c r="AW11" s="2">
        <v>3</v>
      </c>
      <c r="AX11" s="2">
        <v>1.5044</v>
      </c>
      <c r="AY11" s="2">
        <f t="shared" si="12"/>
        <v>100.30000000000005</v>
      </c>
      <c r="BA11" s="2">
        <v>3</v>
      </c>
      <c r="BB11" s="2">
        <v>1.498</v>
      </c>
      <c r="BC11" s="2">
        <f t="shared" si="13"/>
        <v>100.10000000000008</v>
      </c>
      <c r="BD11" s="2"/>
      <c r="BE11" s="1">
        <v>2</v>
      </c>
      <c r="BF11" s="1">
        <v>1.3572</v>
      </c>
      <c r="BG11" s="1">
        <f t="shared" si="14"/>
        <v>0.14189999999999992</v>
      </c>
      <c r="BI11" s="1">
        <v>2</v>
      </c>
      <c r="BJ11" s="1">
        <v>1.2818000000000001</v>
      </c>
      <c r="BK11" s="1">
        <f t="shared" si="15"/>
        <v>0.1342000000000001</v>
      </c>
      <c r="BM11" s="1">
        <v>2</v>
      </c>
      <c r="BN11" s="1">
        <v>1.3624000000000001</v>
      </c>
      <c r="BO11" s="1">
        <f t="shared" si="16"/>
        <v>0.14790000000000014</v>
      </c>
      <c r="BQ11" s="1">
        <v>2</v>
      </c>
      <c r="BR11" s="1">
        <v>1.2863</v>
      </c>
      <c r="BS11" s="1">
        <f t="shared" si="17"/>
        <v>0.13969999999999994</v>
      </c>
    </row>
    <row r="12" spans="1:71" x14ac:dyDescent="0.25">
      <c r="A12" s="2">
        <v>4</v>
      </c>
      <c r="B12" s="2">
        <v>0.40810000000000002</v>
      </c>
      <c r="C12" s="2">
        <f t="shared" si="0"/>
        <v>26.600000000000012</v>
      </c>
      <c r="E12" s="2">
        <v>4</v>
      </c>
      <c r="F12" s="2">
        <v>1.2164999999999999</v>
      </c>
      <c r="G12" s="2">
        <f t="shared" si="1"/>
        <v>104.09999999999985</v>
      </c>
      <c r="I12" s="2">
        <v>4</v>
      </c>
      <c r="J12" s="2">
        <v>1.5963000000000001</v>
      </c>
      <c r="K12" s="2">
        <f t="shared" si="2"/>
        <v>97.29999999999994</v>
      </c>
      <c r="M12" s="2">
        <v>4</v>
      </c>
      <c r="N12" s="2">
        <v>1.605</v>
      </c>
      <c r="O12" s="2">
        <f t="shared" si="3"/>
        <v>96.999999999999972</v>
      </c>
      <c r="Q12" s="2">
        <v>4</v>
      </c>
      <c r="R12" s="2">
        <v>0.69869999999999999</v>
      </c>
      <c r="S12" s="2">
        <f t="shared" si="4"/>
        <v>25.29999999999999</v>
      </c>
      <c r="T12" s="2"/>
      <c r="U12" s="2">
        <v>4</v>
      </c>
      <c r="V12" s="2">
        <v>0.61499999999999999</v>
      </c>
      <c r="W12" s="2">
        <f t="shared" si="5"/>
        <v>4.8000000000000265</v>
      </c>
      <c r="Y12" s="2">
        <v>4</v>
      </c>
      <c r="Z12" s="2">
        <v>0.6169</v>
      </c>
      <c r="AA12" s="2">
        <f t="shared" si="6"/>
        <v>4.7000000000000375</v>
      </c>
      <c r="AC12" s="2">
        <v>4</v>
      </c>
      <c r="AD12" s="2">
        <v>0.9194</v>
      </c>
      <c r="AE12" s="2">
        <f t="shared" si="7"/>
        <v>5.2999999999999714</v>
      </c>
      <c r="AG12" s="2">
        <v>4</v>
      </c>
      <c r="AH12" s="2">
        <v>0.92149999999999999</v>
      </c>
      <c r="AI12" s="2">
        <f t="shared" si="8"/>
        <v>5.2999999999999714</v>
      </c>
      <c r="AJ12" s="2"/>
      <c r="AK12" s="2">
        <v>4</v>
      </c>
      <c r="AL12" s="2">
        <v>0.92079999999999995</v>
      </c>
      <c r="AM12" s="2">
        <f t="shared" si="9"/>
        <v>5.0999999999999934</v>
      </c>
      <c r="AO12" s="2">
        <v>4</v>
      </c>
      <c r="AP12" s="2">
        <v>0.41439999999999999</v>
      </c>
      <c r="AQ12" s="2">
        <f t="shared" si="10"/>
        <v>24.7</v>
      </c>
      <c r="AS12" s="2">
        <v>4</v>
      </c>
      <c r="AT12" s="2">
        <v>1.6017999999999999</v>
      </c>
      <c r="AU12" s="2">
        <f t="shared" si="11"/>
        <v>99.099999999999966</v>
      </c>
      <c r="AW12" s="2">
        <v>4</v>
      </c>
      <c r="AX12" s="2">
        <v>1.603</v>
      </c>
      <c r="AY12" s="2">
        <f t="shared" si="12"/>
        <v>98.600000000000023</v>
      </c>
      <c r="BA12" s="2">
        <v>4</v>
      </c>
      <c r="BB12" s="2">
        <v>1.5978000000000001</v>
      </c>
      <c r="BC12" s="2">
        <f t="shared" si="13"/>
        <v>99.800000000000111</v>
      </c>
      <c r="BD12" s="2"/>
      <c r="BE12" s="1">
        <v>3</v>
      </c>
      <c r="BF12" s="1">
        <v>1.5003</v>
      </c>
      <c r="BG12" s="1">
        <f t="shared" si="14"/>
        <v>0.1431</v>
      </c>
      <c r="BI12" s="1">
        <v>3</v>
      </c>
      <c r="BJ12" s="1">
        <v>1.4168000000000001</v>
      </c>
      <c r="BK12" s="1">
        <f t="shared" si="15"/>
        <v>0.13500000000000001</v>
      </c>
      <c r="BM12" s="1">
        <v>3</v>
      </c>
      <c r="BN12" s="1">
        <v>1.5054000000000001</v>
      </c>
      <c r="BO12" s="1">
        <f t="shared" si="16"/>
        <v>0.14300000000000002</v>
      </c>
      <c r="BQ12" s="1">
        <v>3</v>
      </c>
      <c r="BR12" s="1">
        <v>1.4213</v>
      </c>
      <c r="BS12" s="1">
        <f t="shared" si="17"/>
        <v>0.13500000000000001</v>
      </c>
    </row>
    <row r="13" spans="1:71" x14ac:dyDescent="0.25">
      <c r="A13" s="2">
        <v>5</v>
      </c>
      <c r="B13" s="2">
        <v>0.43280000000000002</v>
      </c>
      <c r="C13" s="2">
        <f t="shared" si="0"/>
        <v>24.7</v>
      </c>
      <c r="E13" s="2">
        <v>5</v>
      </c>
      <c r="F13" s="2">
        <v>1.3075000000000001</v>
      </c>
      <c r="G13" s="2">
        <f t="shared" si="1"/>
        <v>91.000000000000199</v>
      </c>
      <c r="I13" s="2">
        <v>5</v>
      </c>
      <c r="J13" s="2">
        <v>1.6969000000000001</v>
      </c>
      <c r="K13" s="2">
        <f t="shared" si="2"/>
        <v>100.60000000000002</v>
      </c>
      <c r="M13" s="2">
        <v>5</v>
      </c>
      <c r="N13" s="2">
        <v>1.7050000000000001</v>
      </c>
      <c r="O13" s="2">
        <f t="shared" si="3"/>
        <v>100.00000000000009</v>
      </c>
      <c r="Q13" s="2">
        <v>5</v>
      </c>
      <c r="R13" s="2">
        <v>0.72350000000000003</v>
      </c>
      <c r="S13" s="2">
        <f t="shared" si="4"/>
        <v>24.800000000000043</v>
      </c>
      <c r="T13" s="2"/>
      <c r="U13" s="2">
        <v>5</v>
      </c>
      <c r="V13" s="2">
        <v>0.61990000000000001</v>
      </c>
      <c r="W13" s="2">
        <f t="shared" si="5"/>
        <v>4.9000000000000155</v>
      </c>
      <c r="Y13" s="2">
        <v>5</v>
      </c>
      <c r="Z13" s="2">
        <v>0.62180000000000002</v>
      </c>
      <c r="AA13" s="2">
        <f t="shared" si="6"/>
        <v>4.9000000000000155</v>
      </c>
      <c r="AC13" s="2">
        <v>5</v>
      </c>
      <c r="AD13" s="2">
        <v>0.92449999999999999</v>
      </c>
      <c r="AE13" s="2">
        <f t="shared" si="7"/>
        <v>5.0999999999999934</v>
      </c>
      <c r="AG13" s="2">
        <v>5</v>
      </c>
      <c r="AH13" s="2">
        <v>0.92659999999999998</v>
      </c>
      <c r="AI13" s="2">
        <f t="shared" si="8"/>
        <v>5.0999999999999934</v>
      </c>
      <c r="AJ13" s="2"/>
      <c r="AK13" s="2">
        <v>5</v>
      </c>
      <c r="AL13" s="2">
        <v>0.92569999999999997</v>
      </c>
      <c r="AM13" s="2">
        <f t="shared" si="9"/>
        <v>4.9000000000000155</v>
      </c>
      <c r="AO13" s="2">
        <v>5</v>
      </c>
      <c r="AP13" s="2">
        <v>0.43940000000000001</v>
      </c>
      <c r="AQ13" s="2">
        <f t="shared" si="10"/>
        <v>25.000000000000021</v>
      </c>
      <c r="AS13" s="2">
        <v>5</v>
      </c>
      <c r="AT13" s="2">
        <v>1.7017</v>
      </c>
      <c r="AU13" s="2">
        <f t="shared" si="11"/>
        <v>99.900000000000105</v>
      </c>
      <c r="AW13" s="2">
        <v>5</v>
      </c>
      <c r="AX13" s="2">
        <v>1.7035</v>
      </c>
      <c r="AY13" s="2">
        <f t="shared" si="12"/>
        <v>100.50000000000003</v>
      </c>
      <c r="BA13" s="2">
        <v>5</v>
      </c>
      <c r="BB13" s="2">
        <v>1.6978</v>
      </c>
      <c r="BC13" s="2">
        <f t="shared" si="13"/>
        <v>99.999999999999872</v>
      </c>
      <c r="BD13" s="2"/>
      <c r="BE13" s="1">
        <v>4</v>
      </c>
      <c r="BF13" s="1">
        <v>1.6445000000000001</v>
      </c>
      <c r="BG13" s="1">
        <f t="shared" si="14"/>
        <v>0.14420000000000011</v>
      </c>
      <c r="BI13" s="1">
        <v>4</v>
      </c>
      <c r="BJ13" s="1">
        <v>1.5528999999999999</v>
      </c>
      <c r="BK13" s="1">
        <f t="shared" si="15"/>
        <v>0.13609999999999989</v>
      </c>
      <c r="BM13" s="1">
        <v>4</v>
      </c>
      <c r="BN13" s="1">
        <v>1.6446000000000001</v>
      </c>
      <c r="BO13" s="1">
        <f t="shared" si="16"/>
        <v>0.13919999999999999</v>
      </c>
      <c r="BQ13" s="1">
        <v>4</v>
      </c>
      <c r="BR13" s="1">
        <v>1.5525</v>
      </c>
      <c r="BS13" s="1">
        <f t="shared" si="17"/>
        <v>0.13119999999999998</v>
      </c>
    </row>
    <row r="14" spans="1:71" x14ac:dyDescent="0.25">
      <c r="A14" s="2">
        <v>6</v>
      </c>
      <c r="B14" s="2">
        <v>0.45810000000000001</v>
      </c>
      <c r="C14" s="2">
        <f t="shared" si="0"/>
        <v>25.29999999999999</v>
      </c>
      <c r="E14" s="2">
        <v>6</v>
      </c>
      <c r="F14" s="2">
        <v>1.4088000000000001</v>
      </c>
      <c r="G14" s="2">
        <f t="shared" si="1"/>
        <v>101.29999999999994</v>
      </c>
      <c r="I14" s="2">
        <v>6</v>
      </c>
      <c r="J14" s="2">
        <v>1.7968999999999999</v>
      </c>
      <c r="K14" s="2">
        <f t="shared" si="2"/>
        <v>99.999999999999872</v>
      </c>
      <c r="M14" s="2">
        <v>6</v>
      </c>
      <c r="N14" s="2">
        <v>1.8049999999999999</v>
      </c>
      <c r="O14" s="2">
        <f t="shared" si="3"/>
        <v>99.999999999999872</v>
      </c>
      <c r="Q14" s="2">
        <v>6</v>
      </c>
      <c r="R14" s="2">
        <v>0.74870000000000003</v>
      </c>
      <c r="S14" s="2">
        <f t="shared" si="4"/>
        <v>25.2</v>
      </c>
      <c r="T14" s="2"/>
      <c r="U14" s="2">
        <v>6</v>
      </c>
      <c r="V14" s="2">
        <v>0.62490000000000001</v>
      </c>
      <c r="W14" s="2">
        <f t="shared" si="5"/>
        <v>5.0000000000000044</v>
      </c>
      <c r="Y14" s="2">
        <v>6</v>
      </c>
      <c r="Z14" s="2">
        <v>0.62670000000000003</v>
      </c>
      <c r="AA14" s="2">
        <f t="shared" si="6"/>
        <v>4.9000000000000155</v>
      </c>
      <c r="AC14" s="2">
        <v>6</v>
      </c>
      <c r="AD14" s="2">
        <v>0.9294</v>
      </c>
      <c r="AE14" s="2">
        <f t="shared" si="7"/>
        <v>4.9000000000000155</v>
      </c>
      <c r="AG14" s="2">
        <v>6</v>
      </c>
      <c r="AH14" s="2">
        <v>0.93159999999999998</v>
      </c>
      <c r="AI14" s="2">
        <f t="shared" si="8"/>
        <v>5.0000000000000044</v>
      </c>
      <c r="AJ14" s="2"/>
      <c r="AK14" s="2">
        <v>6</v>
      </c>
      <c r="AL14" s="2">
        <v>0.93069999999999997</v>
      </c>
      <c r="AM14" s="2">
        <f t="shared" si="9"/>
        <v>5.0000000000000044</v>
      </c>
      <c r="AO14" s="2">
        <v>6</v>
      </c>
      <c r="AP14" s="2">
        <v>0.4642</v>
      </c>
      <c r="AQ14" s="2">
        <f t="shared" si="10"/>
        <v>24.79999999999999</v>
      </c>
      <c r="AS14" s="2">
        <v>6</v>
      </c>
      <c r="AT14" s="2">
        <v>1.8018000000000001</v>
      </c>
      <c r="AU14" s="2">
        <f t="shared" si="11"/>
        <v>100.10000000000008</v>
      </c>
      <c r="AW14" s="2">
        <v>6</v>
      </c>
      <c r="AX14" s="2">
        <v>1.8033999999999999</v>
      </c>
      <c r="AY14" s="2">
        <f t="shared" si="12"/>
        <v>99.899999999999878</v>
      </c>
      <c r="BA14" s="2">
        <v>6</v>
      </c>
      <c r="BB14" s="2">
        <v>1.7965</v>
      </c>
      <c r="BC14" s="2">
        <f t="shared" si="13"/>
        <v>98.700000000000017</v>
      </c>
      <c r="BD14" s="2"/>
      <c r="BE14" s="1">
        <v>5</v>
      </c>
      <c r="BF14" s="1">
        <v>1.7876000000000001</v>
      </c>
      <c r="BG14" s="1">
        <f t="shared" si="14"/>
        <v>0.1431</v>
      </c>
      <c r="BI14" s="1">
        <v>5</v>
      </c>
      <c r="BJ14" s="1">
        <v>1.6880999999999999</v>
      </c>
      <c r="BK14" s="1">
        <f t="shared" si="15"/>
        <v>0.13519999999999999</v>
      </c>
      <c r="BM14" s="1">
        <v>5</v>
      </c>
      <c r="BN14" s="1">
        <v>1.7876000000000001</v>
      </c>
      <c r="BO14" s="1">
        <f t="shared" si="16"/>
        <v>0.14300000000000002</v>
      </c>
      <c r="BQ14" s="1">
        <v>5</v>
      </c>
      <c r="BR14" s="1">
        <v>1.6877</v>
      </c>
      <c r="BS14" s="1">
        <f t="shared" si="17"/>
        <v>0.13519999999999999</v>
      </c>
    </row>
    <row r="15" spans="1:71" x14ac:dyDescent="0.25">
      <c r="A15" s="2">
        <v>7</v>
      </c>
      <c r="B15" s="2">
        <v>0.4829</v>
      </c>
      <c r="C15" s="2">
        <f t="shared" si="0"/>
        <v>24.79999999999999</v>
      </c>
      <c r="E15" s="2">
        <v>7</v>
      </c>
      <c r="F15" s="2">
        <v>1.4954000000000001</v>
      </c>
      <c r="G15" s="2">
        <f t="shared" si="1"/>
        <v>86.600000000000009</v>
      </c>
      <c r="I15" s="2">
        <v>7</v>
      </c>
      <c r="J15" s="2">
        <v>1.8976999999999999</v>
      </c>
      <c r="K15" s="2">
        <f t="shared" si="2"/>
        <v>100.8</v>
      </c>
      <c r="M15" s="2">
        <v>7</v>
      </c>
      <c r="N15" s="2">
        <v>1.905</v>
      </c>
      <c r="O15" s="2">
        <f t="shared" si="3"/>
        <v>100.00000000000009</v>
      </c>
      <c r="Q15" s="2">
        <v>7</v>
      </c>
      <c r="R15" s="2">
        <v>0.77349999999999997</v>
      </c>
      <c r="S15" s="2">
        <f t="shared" si="4"/>
        <v>24.799999999999933</v>
      </c>
      <c r="T15" s="2"/>
      <c r="U15" s="2">
        <v>7</v>
      </c>
      <c r="V15" s="2">
        <v>0.62990000000000002</v>
      </c>
      <c r="W15" s="2">
        <f t="shared" si="5"/>
        <v>5.0000000000000044</v>
      </c>
      <c r="Y15" s="2">
        <v>7</v>
      </c>
      <c r="Z15" s="2">
        <v>0.63160000000000005</v>
      </c>
      <c r="AA15" s="2">
        <f t="shared" si="6"/>
        <v>4.9000000000000155</v>
      </c>
      <c r="AC15" s="2">
        <v>7</v>
      </c>
      <c r="AD15" s="2">
        <v>0.93430000000000002</v>
      </c>
      <c r="AE15" s="2">
        <f t="shared" si="7"/>
        <v>4.9000000000000155</v>
      </c>
      <c r="AG15" s="2">
        <v>7</v>
      </c>
      <c r="AH15" s="2">
        <v>0.93659999999999999</v>
      </c>
      <c r="AI15" s="2">
        <f t="shared" si="8"/>
        <v>5.0000000000000044</v>
      </c>
      <c r="AJ15" s="2"/>
      <c r="AK15" s="2">
        <v>7</v>
      </c>
      <c r="AL15" s="2">
        <v>0.93559999999999999</v>
      </c>
      <c r="AM15" s="2">
        <f t="shared" si="9"/>
        <v>4.9000000000000155</v>
      </c>
      <c r="AO15" s="2">
        <v>7</v>
      </c>
      <c r="AP15" s="2">
        <v>0.4879</v>
      </c>
      <c r="AQ15" s="2">
        <f t="shared" si="10"/>
        <v>23.7</v>
      </c>
      <c r="AS15" s="2">
        <v>7</v>
      </c>
      <c r="AT15" s="2">
        <v>1.9019999999999999</v>
      </c>
      <c r="AU15" s="2">
        <f t="shared" si="11"/>
        <v>100.19999999999985</v>
      </c>
      <c r="AW15" s="2">
        <v>7</v>
      </c>
      <c r="AX15" s="2">
        <v>1.9039999999999999</v>
      </c>
      <c r="AY15" s="2">
        <f t="shared" si="12"/>
        <v>100.60000000000002</v>
      </c>
      <c r="BA15" s="2">
        <v>7</v>
      </c>
      <c r="BB15" s="2">
        <v>1.8967000000000001</v>
      </c>
      <c r="BC15" s="2">
        <f t="shared" si="13"/>
        <v>100.20000000000007</v>
      </c>
      <c r="BD15" s="2"/>
      <c r="BE15" s="1">
        <v>6</v>
      </c>
      <c r="BF15" s="1">
        <v>1.9296</v>
      </c>
      <c r="BG15" s="1">
        <f t="shared" si="14"/>
        <v>0.1419999999999999</v>
      </c>
      <c r="BI15" s="1">
        <v>6</v>
      </c>
      <c r="BJ15" s="1">
        <v>1.8221000000000001</v>
      </c>
      <c r="BK15" s="1">
        <f t="shared" si="15"/>
        <v>0.13400000000000012</v>
      </c>
      <c r="BM15" s="1">
        <v>6</v>
      </c>
      <c r="BN15" s="1">
        <v>1.9355</v>
      </c>
      <c r="BO15" s="1">
        <f t="shared" si="16"/>
        <v>0.14789999999999992</v>
      </c>
      <c r="BQ15" s="1">
        <v>6</v>
      </c>
      <c r="BR15" s="1">
        <v>1.8271999999999999</v>
      </c>
      <c r="BS15" s="1">
        <f t="shared" si="17"/>
        <v>0.13949999999999996</v>
      </c>
    </row>
    <row r="16" spans="1:71" x14ac:dyDescent="0.25">
      <c r="A16" s="2">
        <v>8</v>
      </c>
      <c r="B16" s="2">
        <v>0.50829999999999997</v>
      </c>
      <c r="C16" s="2">
        <f t="shared" si="0"/>
        <v>25.399999999999977</v>
      </c>
      <c r="E16" s="2">
        <v>8</v>
      </c>
      <c r="F16" s="2">
        <v>1.6115999999999999</v>
      </c>
      <c r="G16" s="2">
        <f t="shared" si="1"/>
        <v>116.19999999999986</v>
      </c>
      <c r="I16" s="2">
        <v>8</v>
      </c>
      <c r="J16" s="2">
        <v>1.9918</v>
      </c>
      <c r="K16" s="2">
        <f t="shared" si="2"/>
        <v>94.10000000000008</v>
      </c>
      <c r="M16" s="2">
        <v>8</v>
      </c>
      <c r="N16" s="2">
        <v>2.0110000000000001</v>
      </c>
      <c r="O16" s="2">
        <f t="shared" si="3"/>
        <v>106.0000000000001</v>
      </c>
      <c r="Q16" s="2">
        <v>8</v>
      </c>
      <c r="R16" s="2">
        <v>0.7964</v>
      </c>
      <c r="S16" s="2">
        <f t="shared" si="4"/>
        <v>22.900000000000031</v>
      </c>
      <c r="T16" s="2"/>
      <c r="U16" s="2">
        <v>8</v>
      </c>
      <c r="V16" s="2">
        <v>0.63470000000000004</v>
      </c>
      <c r="W16" s="2">
        <f t="shared" si="5"/>
        <v>4.8000000000000265</v>
      </c>
      <c r="Y16" s="2">
        <v>8</v>
      </c>
      <c r="Z16" s="2">
        <v>0.63660000000000005</v>
      </c>
      <c r="AA16" s="2">
        <f t="shared" si="6"/>
        <v>5.0000000000000044</v>
      </c>
      <c r="AC16" s="2">
        <v>8</v>
      </c>
      <c r="AD16" s="2">
        <v>0.93920000000000003</v>
      </c>
      <c r="AE16" s="2">
        <f t="shared" si="7"/>
        <v>4.9000000000000155</v>
      </c>
      <c r="AG16" s="2">
        <v>8</v>
      </c>
      <c r="AH16" s="2">
        <v>0.94159999999999999</v>
      </c>
      <c r="AI16" s="2">
        <f t="shared" si="8"/>
        <v>5.0000000000000044</v>
      </c>
      <c r="AJ16" s="2"/>
      <c r="AK16" s="2">
        <v>8</v>
      </c>
      <c r="AL16" s="2">
        <v>0.94059999999999999</v>
      </c>
      <c r="AM16" s="2">
        <f t="shared" si="9"/>
        <v>5.0000000000000044</v>
      </c>
      <c r="AO16" s="2">
        <v>8</v>
      </c>
      <c r="AP16" s="2">
        <v>0.51359999999999995</v>
      </c>
      <c r="AQ16" s="2">
        <f t="shared" si="10"/>
        <v>25.699999999999946</v>
      </c>
      <c r="AS16" s="2">
        <v>8</v>
      </c>
      <c r="AT16" s="2">
        <v>2.0036999999999998</v>
      </c>
      <c r="AU16" s="2">
        <f t="shared" si="11"/>
        <v>101.6999999999999</v>
      </c>
      <c r="AW16" s="2">
        <v>8</v>
      </c>
      <c r="AX16" s="2">
        <v>2.0028999999999999</v>
      </c>
      <c r="AY16" s="2">
        <f t="shared" si="12"/>
        <v>98.899999999999991</v>
      </c>
      <c r="BA16" s="2">
        <v>8</v>
      </c>
      <c r="BB16" s="2">
        <v>1.9928999999999999</v>
      </c>
      <c r="BC16" s="2">
        <f t="shared" si="13"/>
        <v>96.199999999999847</v>
      </c>
      <c r="BD16" s="2"/>
      <c r="BE16" s="1">
        <v>7</v>
      </c>
      <c r="BF16" s="1">
        <v>2.0722999999999998</v>
      </c>
      <c r="BG16" s="1">
        <f t="shared" si="14"/>
        <v>0.14269999999999983</v>
      </c>
      <c r="BI16" s="1">
        <v>7</v>
      </c>
      <c r="BJ16" s="1">
        <v>1.9570000000000001</v>
      </c>
      <c r="BK16" s="1">
        <f t="shared" si="15"/>
        <v>0.13490000000000002</v>
      </c>
      <c r="BM16" s="1">
        <v>7</v>
      </c>
      <c r="BN16" s="1">
        <v>2.0781000000000001</v>
      </c>
      <c r="BO16" s="1">
        <f t="shared" si="16"/>
        <v>0.14260000000000006</v>
      </c>
      <c r="BQ16" s="1">
        <v>7</v>
      </c>
      <c r="BR16" s="1">
        <v>1.962</v>
      </c>
      <c r="BS16" s="1">
        <f t="shared" si="17"/>
        <v>0.13480000000000003</v>
      </c>
    </row>
    <row r="17" spans="1:71" x14ac:dyDescent="0.25">
      <c r="A17" s="2">
        <v>9</v>
      </c>
      <c r="B17" s="2">
        <v>0.53300000000000003</v>
      </c>
      <c r="C17" s="2">
        <f t="shared" si="0"/>
        <v>24.700000000000056</v>
      </c>
      <c r="E17" s="2">
        <v>9</v>
      </c>
      <c r="F17" s="2">
        <v>1.7097</v>
      </c>
      <c r="G17" s="2">
        <f t="shared" si="1"/>
        <v>98.10000000000008</v>
      </c>
      <c r="I17" s="2">
        <v>9</v>
      </c>
      <c r="J17" s="2">
        <v>2.0924</v>
      </c>
      <c r="K17" s="2">
        <f t="shared" si="2"/>
        <v>100.60000000000002</v>
      </c>
      <c r="M17" s="2">
        <v>9</v>
      </c>
      <c r="N17" s="2">
        <v>2.1110000000000002</v>
      </c>
      <c r="O17" s="2">
        <f t="shared" si="3"/>
        <v>100.00000000000009</v>
      </c>
      <c r="Q17" s="2">
        <v>9</v>
      </c>
      <c r="R17" s="2">
        <v>0.82120000000000004</v>
      </c>
      <c r="S17" s="2">
        <f t="shared" si="4"/>
        <v>24.800000000000043</v>
      </c>
      <c r="T17" s="2"/>
      <c r="U17" s="2">
        <v>9</v>
      </c>
      <c r="V17" s="2">
        <v>0.63949999999999996</v>
      </c>
      <c r="W17" s="2">
        <f t="shared" si="5"/>
        <v>4.7999999999999154</v>
      </c>
      <c r="Y17" s="2">
        <v>9</v>
      </c>
      <c r="Z17" s="2">
        <v>0.64139999999999997</v>
      </c>
      <c r="AA17" s="2">
        <f t="shared" si="6"/>
        <v>4.7999999999999154</v>
      </c>
      <c r="AC17" s="2">
        <v>9</v>
      </c>
      <c r="AD17" s="2">
        <v>0.94410000000000005</v>
      </c>
      <c r="AE17" s="2">
        <f t="shared" si="7"/>
        <v>4.9000000000000155</v>
      </c>
      <c r="AG17" s="2">
        <v>9</v>
      </c>
      <c r="AH17" s="2">
        <v>0.94669999999999999</v>
      </c>
      <c r="AI17" s="2">
        <f t="shared" si="8"/>
        <v>5.0999999999999934</v>
      </c>
      <c r="AJ17" s="2"/>
      <c r="AK17" s="2">
        <v>9</v>
      </c>
      <c r="AL17" s="2">
        <v>0.94550000000000001</v>
      </c>
      <c r="AM17" s="2">
        <f t="shared" si="9"/>
        <v>4.9000000000000155</v>
      </c>
      <c r="AO17" s="2">
        <v>9</v>
      </c>
      <c r="AP17" s="2">
        <v>0.53849999999999998</v>
      </c>
      <c r="AQ17" s="2">
        <f t="shared" si="10"/>
        <v>24.900000000000034</v>
      </c>
      <c r="AS17" s="2">
        <v>9</v>
      </c>
      <c r="AT17" s="2">
        <v>2.1038000000000001</v>
      </c>
      <c r="AU17" s="2">
        <f t="shared" si="11"/>
        <v>100.10000000000031</v>
      </c>
      <c r="AW17" s="2">
        <v>9</v>
      </c>
      <c r="AX17" s="2">
        <v>2.1036000000000001</v>
      </c>
      <c r="AY17" s="2">
        <f t="shared" si="12"/>
        <v>100.70000000000023</v>
      </c>
      <c r="BA17" s="2">
        <v>9</v>
      </c>
      <c r="BB17" s="2">
        <v>2.0931000000000002</v>
      </c>
      <c r="BC17" s="2">
        <f t="shared" si="13"/>
        <v>100.20000000000029</v>
      </c>
      <c r="BD17" s="2"/>
      <c r="BE17" s="1">
        <v>8</v>
      </c>
      <c r="BF17" s="1">
        <v>2.2174999999999998</v>
      </c>
      <c r="BG17" s="1">
        <f t="shared" si="14"/>
        <v>0.1452</v>
      </c>
      <c r="BI17" s="1">
        <v>8</v>
      </c>
      <c r="BJ17" s="1">
        <v>2.0933000000000002</v>
      </c>
      <c r="BK17" s="1">
        <f t="shared" si="15"/>
        <v>0.13630000000000009</v>
      </c>
      <c r="BM17" s="1">
        <v>8</v>
      </c>
      <c r="BN17" s="1">
        <v>2.2216999999999998</v>
      </c>
      <c r="BO17" s="1">
        <f t="shared" si="16"/>
        <v>0.14359999999999973</v>
      </c>
      <c r="BQ17" s="1">
        <v>8</v>
      </c>
      <c r="BR17" s="1">
        <v>2.0968</v>
      </c>
      <c r="BS17" s="1">
        <f t="shared" si="17"/>
        <v>0.13480000000000003</v>
      </c>
    </row>
    <row r="18" spans="1:71" x14ac:dyDescent="0.25">
      <c r="A18" s="2" t="s">
        <v>19</v>
      </c>
      <c r="B18" s="2">
        <v>0.55820000000000003</v>
      </c>
      <c r="C18" s="2">
        <f t="shared" si="0"/>
        <v>25.2</v>
      </c>
      <c r="E18" s="2" t="s">
        <v>19</v>
      </c>
      <c r="F18" s="2">
        <v>1.8050999999999999</v>
      </c>
      <c r="G18" s="2">
        <f t="shared" si="1"/>
        <v>95.399999999999935</v>
      </c>
      <c r="I18" s="2" t="s">
        <v>19</v>
      </c>
      <c r="J18" s="2">
        <v>2.1926000000000001</v>
      </c>
      <c r="K18" s="2">
        <f t="shared" si="2"/>
        <v>100.20000000000007</v>
      </c>
      <c r="M18" s="2" t="s">
        <v>19</v>
      </c>
      <c r="N18" s="2">
        <v>2.2109999999999999</v>
      </c>
      <c r="O18" s="2">
        <f t="shared" si="3"/>
        <v>99.999999999999645</v>
      </c>
      <c r="Q18" s="2" t="s">
        <v>19</v>
      </c>
      <c r="R18" s="2">
        <v>0.84650000000000003</v>
      </c>
      <c r="S18" s="2">
        <f t="shared" si="4"/>
        <v>25.29999999999999</v>
      </c>
      <c r="T18" s="2"/>
      <c r="U18" s="2" t="s">
        <v>20</v>
      </c>
      <c r="V18" s="2">
        <v>0.64449999999999996</v>
      </c>
      <c r="W18" s="2">
        <f t="shared" si="5"/>
        <v>5.0000000000000044</v>
      </c>
      <c r="Y18" s="2" t="s">
        <v>20</v>
      </c>
      <c r="Z18" s="2">
        <v>0.64639999999999997</v>
      </c>
      <c r="AA18" s="2">
        <f t="shared" si="6"/>
        <v>5.0000000000000044</v>
      </c>
      <c r="AC18" s="2" t="s">
        <v>20</v>
      </c>
      <c r="AD18" s="2">
        <v>0.94910000000000005</v>
      </c>
      <c r="AE18" s="2">
        <f t="shared" si="7"/>
        <v>5.0000000000000044</v>
      </c>
      <c r="AG18" s="2" t="s">
        <v>20</v>
      </c>
      <c r="AH18" s="2">
        <v>0.95169999999999999</v>
      </c>
      <c r="AI18" s="2">
        <f t="shared" si="8"/>
        <v>5.0000000000000044</v>
      </c>
      <c r="AJ18" s="2"/>
      <c r="AK18" s="2" t="s">
        <v>20</v>
      </c>
      <c r="AL18" s="2">
        <v>0.95050000000000001</v>
      </c>
      <c r="AM18" s="2">
        <f t="shared" si="9"/>
        <v>5.0000000000000044</v>
      </c>
      <c r="AO18" s="2" t="s">
        <v>20</v>
      </c>
      <c r="AP18" s="2">
        <v>0.56340000000000001</v>
      </c>
      <c r="AQ18" s="2">
        <f t="shared" si="10"/>
        <v>24.900000000000034</v>
      </c>
      <c r="AS18" s="2" t="s">
        <v>20</v>
      </c>
      <c r="AT18" s="2">
        <v>2.2040000000000002</v>
      </c>
      <c r="AU18" s="2">
        <f t="shared" si="11"/>
        <v>100.20000000000007</v>
      </c>
      <c r="AW18" s="2" t="s">
        <v>20</v>
      </c>
      <c r="AX18" s="2">
        <v>2.2035</v>
      </c>
      <c r="AY18" s="2">
        <f t="shared" si="12"/>
        <v>99.899999999999878</v>
      </c>
      <c r="BA18" s="2" t="s">
        <v>20</v>
      </c>
      <c r="BB18" s="2">
        <v>2.1919</v>
      </c>
      <c r="BC18" s="2">
        <f t="shared" si="13"/>
        <v>98.799999999999784</v>
      </c>
      <c r="BD18" s="2"/>
      <c r="BE18" s="1">
        <v>9</v>
      </c>
      <c r="BF18" s="1">
        <v>2.3603999999999998</v>
      </c>
      <c r="BG18" s="1">
        <f t="shared" si="14"/>
        <v>0.14290000000000003</v>
      </c>
      <c r="BI18" s="1">
        <v>9</v>
      </c>
      <c r="BJ18" s="1">
        <v>2.2282000000000002</v>
      </c>
      <c r="BK18" s="1">
        <f t="shared" si="15"/>
        <v>0.13490000000000002</v>
      </c>
      <c r="BM18" s="1">
        <v>9</v>
      </c>
      <c r="BN18" s="1">
        <v>2.3647</v>
      </c>
      <c r="BO18" s="1">
        <f t="shared" si="16"/>
        <v>0.14300000000000024</v>
      </c>
      <c r="BQ18" s="1">
        <v>9</v>
      </c>
      <c r="BR18" s="1">
        <v>2.2315</v>
      </c>
      <c r="BS18" s="1">
        <f t="shared" si="17"/>
        <v>0.13470000000000004</v>
      </c>
    </row>
    <row r="19" spans="1:71" x14ac:dyDescent="0.25">
      <c r="A19" s="2" t="s">
        <v>21</v>
      </c>
      <c r="B19" s="2">
        <v>0.58299999999999996</v>
      </c>
      <c r="C19" s="2">
        <f t="shared" si="0"/>
        <v>24.799999999999933</v>
      </c>
      <c r="E19" s="2"/>
      <c r="F19" s="2"/>
      <c r="G19" s="2">
        <f>AVERAGE(G8:G18)</f>
        <v>98.56</v>
      </c>
      <c r="I19" s="2"/>
      <c r="J19" s="2"/>
      <c r="K19" s="2">
        <f>AVERAGE(K8:K18)</f>
        <v>99.48</v>
      </c>
      <c r="M19" s="2" t="s">
        <v>21</v>
      </c>
      <c r="N19" s="2">
        <v>2.3109999999999999</v>
      </c>
      <c r="O19" s="2">
        <f t="shared" si="3"/>
        <v>100.00000000000009</v>
      </c>
      <c r="Q19" s="2" t="s">
        <v>21</v>
      </c>
      <c r="R19" s="2">
        <v>0.87129999999999996</v>
      </c>
      <c r="S19" s="2">
        <f t="shared" si="4"/>
        <v>24.799999999999933</v>
      </c>
      <c r="T19" s="2"/>
      <c r="U19" s="2" t="s">
        <v>22</v>
      </c>
      <c r="V19" s="2">
        <v>0.64929999999999999</v>
      </c>
      <c r="W19" s="2">
        <f t="shared" si="5"/>
        <v>4.8000000000000265</v>
      </c>
      <c r="Y19" s="2" t="s">
        <v>22</v>
      </c>
      <c r="Z19" s="2">
        <v>0.6512</v>
      </c>
      <c r="AA19" s="2">
        <f t="shared" si="6"/>
        <v>4.8000000000000265</v>
      </c>
      <c r="AC19" s="2" t="s">
        <v>22</v>
      </c>
      <c r="AD19" s="2">
        <v>0.95399999999999996</v>
      </c>
      <c r="AE19" s="2">
        <f t="shared" si="7"/>
        <v>4.8999999999999044</v>
      </c>
      <c r="AG19" s="2" t="s">
        <v>22</v>
      </c>
      <c r="AH19" s="2">
        <v>0.95679999999999998</v>
      </c>
      <c r="AI19" s="2">
        <f t="shared" si="8"/>
        <v>5.0999999999999934</v>
      </c>
      <c r="AJ19" s="2"/>
      <c r="AK19" s="2" t="s">
        <v>22</v>
      </c>
      <c r="AL19" s="2">
        <v>0.95540000000000003</v>
      </c>
      <c r="AM19" s="2">
        <f t="shared" si="9"/>
        <v>4.9000000000000155</v>
      </c>
      <c r="AO19" s="2" t="s">
        <v>22</v>
      </c>
      <c r="AP19" s="2">
        <v>0.58850000000000002</v>
      </c>
      <c r="AQ19" s="2">
        <f t="shared" si="10"/>
        <v>25.100000000000012</v>
      </c>
      <c r="AS19" s="2" t="s">
        <v>22</v>
      </c>
      <c r="AT19" s="2">
        <v>2.3039000000000001</v>
      </c>
      <c r="AU19" s="2">
        <f t="shared" si="11"/>
        <v>99.899999999999878</v>
      </c>
      <c r="AW19" s="2" t="s">
        <v>22</v>
      </c>
      <c r="AX19" s="2">
        <v>2.3037999999999998</v>
      </c>
      <c r="AY19" s="2">
        <f t="shared" si="12"/>
        <v>100.29999999999984</v>
      </c>
      <c r="BA19" s="2" t="s">
        <v>22</v>
      </c>
      <c r="BB19" s="2">
        <v>2.2917999999999998</v>
      </c>
      <c r="BC19" s="2">
        <f t="shared" si="13"/>
        <v>99.899999999999878</v>
      </c>
      <c r="BD19" s="2"/>
      <c r="BE19" s="1" t="s">
        <v>20</v>
      </c>
      <c r="BF19" s="1">
        <v>2.5022000000000002</v>
      </c>
      <c r="BG19" s="1">
        <f t="shared" si="14"/>
        <v>0.14180000000000037</v>
      </c>
      <c r="BI19" s="1" t="s">
        <v>20</v>
      </c>
      <c r="BJ19" s="1">
        <v>2.363</v>
      </c>
      <c r="BK19" s="1">
        <f t="shared" si="15"/>
        <v>0.13479999999999981</v>
      </c>
      <c r="BM19" s="1" t="s">
        <v>20</v>
      </c>
      <c r="BN19" s="1">
        <v>2.5122</v>
      </c>
      <c r="BO19" s="1">
        <f t="shared" si="16"/>
        <v>0.14749999999999996</v>
      </c>
      <c r="BQ19" s="1" t="s">
        <v>20</v>
      </c>
      <c r="BR19" s="1">
        <v>2.3717999999999999</v>
      </c>
      <c r="BS19" s="1">
        <f t="shared" si="17"/>
        <v>0.14029999999999987</v>
      </c>
    </row>
    <row r="20" spans="1:71" x14ac:dyDescent="0.25">
      <c r="A20" s="2" t="s">
        <v>23</v>
      </c>
      <c r="B20" s="2">
        <v>0.60950000000000004</v>
      </c>
      <c r="C20" s="2">
        <f t="shared" si="0"/>
        <v>26.500000000000078</v>
      </c>
      <c r="E20" s="2"/>
      <c r="F20" s="2"/>
      <c r="G20" s="2"/>
      <c r="I20" s="2"/>
      <c r="J20" s="2"/>
      <c r="K20" s="2"/>
      <c r="M20" s="2" t="s">
        <v>23</v>
      </c>
      <c r="N20" s="2">
        <v>2.4079999999999999</v>
      </c>
      <c r="O20" s="2">
        <f t="shared" si="3"/>
        <v>96.999999999999972</v>
      </c>
      <c r="Q20" s="2" t="s">
        <v>23</v>
      </c>
      <c r="R20" s="2">
        <v>0.89629999999999999</v>
      </c>
      <c r="S20" s="2">
        <f t="shared" si="4"/>
        <v>25.000000000000021</v>
      </c>
      <c r="T20" s="2"/>
      <c r="U20" s="2" t="s">
        <v>24</v>
      </c>
      <c r="V20" s="2">
        <v>0.65400000000000003</v>
      </c>
      <c r="W20" s="2">
        <f t="shared" si="5"/>
        <v>4.7000000000000375</v>
      </c>
      <c r="Y20" s="2" t="s">
        <v>24</v>
      </c>
      <c r="Z20" s="2">
        <v>0.65600000000000003</v>
      </c>
      <c r="AA20" s="2">
        <f t="shared" si="6"/>
        <v>4.8000000000000265</v>
      </c>
      <c r="AC20" s="2" t="s">
        <v>24</v>
      </c>
      <c r="AD20" s="2">
        <v>0.95940000000000003</v>
      </c>
      <c r="AE20" s="2">
        <f t="shared" si="7"/>
        <v>5.4000000000000714</v>
      </c>
      <c r="AG20" s="2" t="s">
        <v>24</v>
      </c>
      <c r="AH20" s="2">
        <v>0.96209999999999996</v>
      </c>
      <c r="AI20" s="2">
        <f t="shared" si="8"/>
        <v>5.2999999999999714</v>
      </c>
      <c r="AJ20" s="2"/>
      <c r="AK20" s="2" t="s">
        <v>24</v>
      </c>
      <c r="AL20" s="2">
        <v>0.96040000000000003</v>
      </c>
      <c r="AM20" s="2">
        <f t="shared" si="9"/>
        <v>5.0000000000000044</v>
      </c>
      <c r="AO20" s="2" t="s">
        <v>24</v>
      </c>
      <c r="AP20" s="2">
        <v>0.61409999999999998</v>
      </c>
      <c r="AQ20" s="2">
        <f t="shared" si="10"/>
        <v>25.599999999999955</v>
      </c>
      <c r="AS20" s="2" t="s">
        <v>24</v>
      </c>
      <c r="AT20" s="2">
        <v>2.4030999999999998</v>
      </c>
      <c r="AU20" s="2">
        <f t="shared" si="11"/>
        <v>99.199999999999733</v>
      </c>
      <c r="AW20" s="2" t="s">
        <v>24</v>
      </c>
      <c r="AX20" s="2">
        <v>2.4026000000000001</v>
      </c>
      <c r="AY20" s="2">
        <f t="shared" si="12"/>
        <v>98.800000000000225</v>
      </c>
      <c r="BA20" s="2" t="s">
        <v>24</v>
      </c>
      <c r="BB20" s="2">
        <v>2.3915999999999999</v>
      </c>
      <c r="BC20" s="2">
        <f t="shared" si="13"/>
        <v>99.800000000000111</v>
      </c>
      <c r="BD20" s="2"/>
      <c r="BE20" s="1" t="s">
        <v>22</v>
      </c>
      <c r="BF20" s="1">
        <v>2.6440999999999999</v>
      </c>
      <c r="BG20" s="1">
        <f t="shared" si="14"/>
        <v>0.14189999999999969</v>
      </c>
      <c r="BI20" s="1" t="s">
        <v>22</v>
      </c>
      <c r="BJ20" s="1">
        <v>2.4967999999999999</v>
      </c>
      <c r="BK20" s="1">
        <f t="shared" si="15"/>
        <v>0.13379999999999992</v>
      </c>
      <c r="BM20" s="1" t="s">
        <v>22</v>
      </c>
      <c r="BN20" s="1">
        <v>2.6541000000000001</v>
      </c>
      <c r="BO20" s="1">
        <f t="shared" si="16"/>
        <v>0.14190000000000014</v>
      </c>
      <c r="BQ20" s="1" t="s">
        <v>22</v>
      </c>
      <c r="BR20" s="1">
        <v>2.5055000000000001</v>
      </c>
      <c r="BS20" s="1">
        <f t="shared" si="17"/>
        <v>0.13370000000000015</v>
      </c>
    </row>
    <row r="21" spans="1:71" x14ac:dyDescent="0.25">
      <c r="A21" s="2" t="s">
        <v>25</v>
      </c>
      <c r="B21" s="2">
        <v>0.63400000000000001</v>
      </c>
      <c r="C21" s="2">
        <f t="shared" si="0"/>
        <v>24.499999999999964</v>
      </c>
      <c r="E21" s="2"/>
      <c r="F21" s="2"/>
      <c r="G21" s="2"/>
      <c r="I21" s="2"/>
      <c r="J21" s="2"/>
      <c r="K21" s="2"/>
      <c r="M21" s="2" t="s">
        <v>25</v>
      </c>
      <c r="N21" s="2">
        <v>2.508</v>
      </c>
      <c r="O21" s="2">
        <f t="shared" si="3"/>
        <v>100.00000000000009</v>
      </c>
      <c r="Q21" s="2" t="s">
        <v>25</v>
      </c>
      <c r="R21" s="2">
        <v>0.92120000000000002</v>
      </c>
      <c r="S21" s="2">
        <f t="shared" si="4"/>
        <v>24.900000000000034</v>
      </c>
      <c r="T21" s="2"/>
      <c r="U21" s="2" t="s">
        <v>26</v>
      </c>
      <c r="V21" s="2">
        <v>0.65910000000000002</v>
      </c>
      <c r="W21" s="2">
        <f t="shared" si="5"/>
        <v>5.0999999999999934</v>
      </c>
      <c r="Y21" s="2" t="s">
        <v>26</v>
      </c>
      <c r="Z21" s="2">
        <v>0.66080000000000005</v>
      </c>
      <c r="AA21" s="2">
        <f t="shared" si="6"/>
        <v>4.8000000000000265</v>
      </c>
      <c r="AC21" s="2" t="s">
        <v>26</v>
      </c>
      <c r="AD21" s="2">
        <v>0.96440000000000003</v>
      </c>
      <c r="AE21" s="2">
        <f t="shared" si="7"/>
        <v>5.0000000000000044</v>
      </c>
      <c r="AG21" s="2" t="s">
        <v>26</v>
      </c>
      <c r="AH21" s="2">
        <v>0.96709999999999996</v>
      </c>
      <c r="AI21" s="2">
        <f t="shared" si="8"/>
        <v>5.0000000000000044</v>
      </c>
      <c r="AJ21" s="2"/>
      <c r="AK21" s="2" t="s">
        <v>26</v>
      </c>
      <c r="AL21" s="2">
        <v>0.96540000000000004</v>
      </c>
      <c r="AM21" s="2">
        <f t="shared" si="9"/>
        <v>5.0000000000000044</v>
      </c>
      <c r="AO21" s="2" t="s">
        <v>26</v>
      </c>
      <c r="AP21" s="2">
        <v>0.63939999999999997</v>
      </c>
      <c r="AQ21" s="2">
        <f t="shared" si="10"/>
        <v>25.29999999999999</v>
      </c>
      <c r="AS21" s="2" t="s">
        <v>26</v>
      </c>
      <c r="AT21" s="2">
        <v>2.5028999999999999</v>
      </c>
      <c r="AU21" s="2">
        <f t="shared" si="11"/>
        <v>99.800000000000111</v>
      </c>
      <c r="AW21" s="2" t="s">
        <v>26</v>
      </c>
      <c r="AX21" s="2">
        <v>2.5028999999999999</v>
      </c>
      <c r="AY21" s="2">
        <f t="shared" si="12"/>
        <v>100.29999999999984</v>
      </c>
      <c r="BA21" s="2" t="s">
        <v>26</v>
      </c>
      <c r="BB21" s="2">
        <v>2.4916</v>
      </c>
      <c r="BC21" s="2">
        <f t="shared" si="13"/>
        <v>100.00000000000009</v>
      </c>
      <c r="BD21" s="2"/>
      <c r="BE21" s="1" t="s">
        <v>24</v>
      </c>
      <c r="BF21" s="1">
        <v>2.7879</v>
      </c>
      <c r="BG21" s="1">
        <f t="shared" si="14"/>
        <v>0.14380000000000015</v>
      </c>
      <c r="BI21" s="1" t="s">
        <v>24</v>
      </c>
      <c r="BJ21" s="1">
        <v>2.6332</v>
      </c>
      <c r="BK21" s="1">
        <f t="shared" si="15"/>
        <v>0.13640000000000008</v>
      </c>
      <c r="BM21" s="1" t="s">
        <v>24</v>
      </c>
      <c r="BN21" s="1">
        <v>2.7928000000000002</v>
      </c>
      <c r="BO21" s="1">
        <f t="shared" si="16"/>
        <v>0.13870000000000005</v>
      </c>
      <c r="BQ21" s="1" t="s">
        <v>24</v>
      </c>
      <c r="BR21" s="1">
        <v>2.6371000000000002</v>
      </c>
      <c r="BS21" s="1">
        <f t="shared" si="17"/>
        <v>0.13160000000000016</v>
      </c>
    </row>
    <row r="22" spans="1:71" x14ac:dyDescent="0.25">
      <c r="A22" s="2" t="s">
        <v>27</v>
      </c>
      <c r="B22" s="2">
        <v>0.65939999999999999</v>
      </c>
      <c r="C22" s="2">
        <f t="shared" si="0"/>
        <v>25.399999999999977</v>
      </c>
      <c r="E22" s="2"/>
      <c r="F22" s="2"/>
      <c r="G22" s="2"/>
      <c r="I22" s="2"/>
      <c r="J22" s="2"/>
      <c r="K22" s="2"/>
      <c r="M22" s="2" t="s">
        <v>27</v>
      </c>
      <c r="N22" s="2">
        <v>2.6080000000000001</v>
      </c>
      <c r="O22" s="2">
        <f t="shared" si="3"/>
        <v>100.00000000000009</v>
      </c>
      <c r="Q22" s="2" t="s">
        <v>27</v>
      </c>
      <c r="R22" s="2">
        <v>0.94640000000000002</v>
      </c>
      <c r="S22" s="2">
        <f t="shared" si="4"/>
        <v>25.2</v>
      </c>
      <c r="T22" s="2"/>
      <c r="U22" s="2" t="s">
        <v>28</v>
      </c>
      <c r="V22" s="2">
        <v>0.66410000000000002</v>
      </c>
      <c r="W22" s="2">
        <f t="shared" si="5"/>
        <v>5.0000000000000044</v>
      </c>
      <c r="Y22" s="2" t="s">
        <v>28</v>
      </c>
      <c r="Z22" s="2">
        <v>0.66579999999999995</v>
      </c>
      <c r="AA22" s="2">
        <f t="shared" si="6"/>
        <v>4.9999999999998934</v>
      </c>
      <c r="AC22" s="2" t="s">
        <v>28</v>
      </c>
      <c r="AD22" s="2">
        <v>0.96930000000000005</v>
      </c>
      <c r="AE22" s="2">
        <f t="shared" si="7"/>
        <v>4.9000000000000155</v>
      </c>
      <c r="AG22" s="2" t="s">
        <v>28</v>
      </c>
      <c r="AH22" s="2">
        <v>0.97219999999999995</v>
      </c>
      <c r="AI22" s="2">
        <f t="shared" si="8"/>
        <v>5.0999999999999934</v>
      </c>
      <c r="AJ22" s="2"/>
      <c r="AK22" s="2" t="s">
        <v>28</v>
      </c>
      <c r="AL22" s="2">
        <v>0.97040000000000004</v>
      </c>
      <c r="AM22" s="2">
        <f t="shared" si="9"/>
        <v>5.0000000000000044</v>
      </c>
      <c r="AO22" s="2" t="s">
        <v>28</v>
      </c>
      <c r="AP22" s="2">
        <v>0.66479999999999995</v>
      </c>
      <c r="AQ22" s="2">
        <f t="shared" si="10"/>
        <v>25.399999999999977</v>
      </c>
      <c r="AS22" s="2" t="s">
        <v>28</v>
      </c>
      <c r="AT22" s="2">
        <v>2.6030000000000002</v>
      </c>
      <c r="AU22" s="2">
        <f t="shared" si="11"/>
        <v>100.10000000000031</v>
      </c>
      <c r="AW22" s="2" t="s">
        <v>28</v>
      </c>
      <c r="AX22" s="2">
        <v>2.6027999999999998</v>
      </c>
      <c r="AY22" s="2">
        <f t="shared" si="12"/>
        <v>99.899999999999878</v>
      </c>
      <c r="BA22" s="2" t="s">
        <v>28</v>
      </c>
      <c r="BB22" s="2">
        <v>2.5903999999999998</v>
      </c>
      <c r="BC22" s="2">
        <f t="shared" si="13"/>
        <v>98.799999999999784</v>
      </c>
      <c r="BD22" s="2"/>
      <c r="BE22" s="1" t="s">
        <v>26</v>
      </c>
      <c r="BF22" s="1">
        <v>2.9302000000000001</v>
      </c>
      <c r="BG22" s="1">
        <f t="shared" si="14"/>
        <v>0.14230000000000009</v>
      </c>
      <c r="BI22" s="1" t="s">
        <v>26</v>
      </c>
      <c r="BJ22" s="1">
        <v>2.7675000000000001</v>
      </c>
      <c r="BK22" s="1">
        <f t="shared" si="15"/>
        <v>0.13430000000000009</v>
      </c>
      <c r="BM22" s="1" t="s">
        <v>26</v>
      </c>
      <c r="BN22" s="1">
        <v>2.9350000000000001</v>
      </c>
      <c r="BO22" s="1">
        <f t="shared" si="16"/>
        <v>0.14219999999999988</v>
      </c>
      <c r="BQ22" s="1" t="s">
        <v>26</v>
      </c>
      <c r="BR22" s="1">
        <v>2.7713000000000001</v>
      </c>
      <c r="BS22" s="1">
        <f t="shared" si="17"/>
        <v>0.13419999999999987</v>
      </c>
    </row>
    <row r="23" spans="1:71" x14ac:dyDescent="0.25">
      <c r="A23" s="2" t="s">
        <v>29</v>
      </c>
      <c r="B23" s="2">
        <v>0.68389999999999995</v>
      </c>
      <c r="C23" s="2">
        <f t="shared" si="0"/>
        <v>24.499999999999964</v>
      </c>
      <c r="E23" s="2"/>
      <c r="F23" s="2"/>
      <c r="G23" s="2"/>
      <c r="I23" s="2"/>
      <c r="J23" s="2"/>
      <c r="K23" s="2"/>
      <c r="M23" s="2" t="s">
        <v>29</v>
      </c>
      <c r="N23" s="2">
        <v>2.7080000000000002</v>
      </c>
      <c r="O23" s="2">
        <f t="shared" si="3"/>
        <v>100.00000000000009</v>
      </c>
      <c r="Q23" s="2" t="s">
        <v>29</v>
      </c>
      <c r="R23" s="2">
        <v>0.97130000000000005</v>
      </c>
      <c r="S23" s="2">
        <f t="shared" si="4"/>
        <v>24.900000000000034</v>
      </c>
      <c r="T23" s="2"/>
      <c r="U23" s="2" t="s">
        <v>30</v>
      </c>
      <c r="V23" s="2">
        <v>0.66910000000000003</v>
      </c>
      <c r="W23" s="2">
        <f t="shared" si="5"/>
        <v>5.0000000000000044</v>
      </c>
      <c r="Y23" s="2" t="s">
        <v>30</v>
      </c>
      <c r="Z23" s="2">
        <v>0.67059999999999997</v>
      </c>
      <c r="AA23" s="2">
        <f t="shared" si="6"/>
        <v>4.8000000000000265</v>
      </c>
      <c r="AC23" s="2" t="s">
        <v>30</v>
      </c>
      <c r="AD23" s="2">
        <v>0.97450000000000003</v>
      </c>
      <c r="AE23" s="2">
        <f t="shared" si="7"/>
        <v>5.1999999999999824</v>
      </c>
      <c r="AG23" s="2" t="s">
        <v>30</v>
      </c>
      <c r="AH23" s="2">
        <v>0.97750000000000004</v>
      </c>
      <c r="AI23" s="2">
        <f t="shared" si="8"/>
        <v>5.3000000000000824</v>
      </c>
      <c r="AJ23" s="2"/>
      <c r="AK23" s="2" t="s">
        <v>30</v>
      </c>
      <c r="AL23" s="2">
        <v>0.97550000000000003</v>
      </c>
      <c r="AM23" s="2">
        <f t="shared" si="9"/>
        <v>5.0999999999999934</v>
      </c>
      <c r="AO23" s="2" t="s">
        <v>30</v>
      </c>
      <c r="AP23" s="2">
        <v>0.69040000000000001</v>
      </c>
      <c r="AQ23" s="2">
        <f t="shared" si="10"/>
        <v>25.600000000000065</v>
      </c>
      <c r="AS23" s="2" t="s">
        <v>30</v>
      </c>
      <c r="AT23" s="2">
        <v>2.7029999999999998</v>
      </c>
      <c r="AU23" s="2">
        <f t="shared" si="11"/>
        <v>99.999999999999645</v>
      </c>
      <c r="AW23" s="2" t="s">
        <v>30</v>
      </c>
      <c r="AX23" s="2">
        <v>2.7031999999999998</v>
      </c>
      <c r="AY23" s="2">
        <f t="shared" si="12"/>
        <v>100.40000000000005</v>
      </c>
      <c r="BA23" s="2" t="s">
        <v>30</v>
      </c>
      <c r="BB23" s="2">
        <v>2.6903999999999999</v>
      </c>
      <c r="BC23" s="2">
        <f t="shared" si="13"/>
        <v>100.00000000000009</v>
      </c>
      <c r="BD23" s="2"/>
      <c r="BE23" s="1" t="s">
        <v>28</v>
      </c>
      <c r="BF23" s="1">
        <v>3.0712999999999999</v>
      </c>
      <c r="BG23" s="1">
        <f t="shared" si="14"/>
        <v>0.14109999999999978</v>
      </c>
      <c r="BI23" s="1" t="s">
        <v>28</v>
      </c>
      <c r="BJ23" s="1">
        <v>2.9005999999999998</v>
      </c>
      <c r="BK23" s="1">
        <f t="shared" si="15"/>
        <v>0.13309999999999977</v>
      </c>
      <c r="BM23" s="1" t="s">
        <v>28</v>
      </c>
      <c r="BN23" s="1">
        <v>3.0819000000000001</v>
      </c>
      <c r="BO23" s="1">
        <f t="shared" si="16"/>
        <v>0.14690000000000003</v>
      </c>
      <c r="BQ23" s="1" t="s">
        <v>28</v>
      </c>
      <c r="BR23" s="1">
        <v>2.91</v>
      </c>
      <c r="BS23" s="1">
        <f t="shared" si="17"/>
        <v>0.13870000000000005</v>
      </c>
    </row>
    <row r="24" spans="1:71" x14ac:dyDescent="0.25">
      <c r="A24" s="2">
        <v>10</v>
      </c>
      <c r="B24" s="2">
        <v>0.70689999999999997</v>
      </c>
      <c r="C24" s="2">
        <f t="shared" si="0"/>
        <v>23.000000000000021</v>
      </c>
      <c r="E24" s="2"/>
      <c r="F24" s="2"/>
      <c r="G24" s="2"/>
      <c r="I24" s="2"/>
      <c r="J24" s="2"/>
      <c r="K24" s="2"/>
      <c r="M24" s="2">
        <v>10</v>
      </c>
      <c r="N24" s="2">
        <v>2.81</v>
      </c>
      <c r="O24" s="2">
        <f t="shared" si="3"/>
        <v>101.99999999999987</v>
      </c>
      <c r="Q24" s="2">
        <v>10</v>
      </c>
      <c r="R24" s="2">
        <v>0.99650000000000005</v>
      </c>
      <c r="S24" s="2">
        <f t="shared" si="4"/>
        <v>25.2</v>
      </c>
      <c r="T24" s="2"/>
      <c r="U24" s="2">
        <v>10</v>
      </c>
      <c r="V24" s="2">
        <v>0.67390000000000005</v>
      </c>
      <c r="W24" s="2">
        <f t="shared" si="5"/>
        <v>4.8000000000000265</v>
      </c>
      <c r="Y24" s="2">
        <v>10</v>
      </c>
      <c r="Z24" s="2">
        <v>0.67569999999999997</v>
      </c>
      <c r="AA24" s="2">
        <f t="shared" si="6"/>
        <v>5.0999999999999934</v>
      </c>
      <c r="AC24" s="2">
        <v>10</v>
      </c>
      <c r="AD24" s="2">
        <v>0.97970000000000002</v>
      </c>
      <c r="AE24" s="2">
        <f t="shared" si="7"/>
        <v>5.1999999999999824</v>
      </c>
      <c r="AG24" s="2">
        <v>10</v>
      </c>
      <c r="AH24" s="2">
        <v>0.98140000000000005</v>
      </c>
      <c r="AI24" s="2">
        <f t="shared" si="8"/>
        <v>3.9000000000000146</v>
      </c>
      <c r="AJ24" s="2"/>
      <c r="AK24" s="2">
        <v>10</v>
      </c>
      <c r="AL24" s="2">
        <v>0.98050000000000004</v>
      </c>
      <c r="AM24" s="2">
        <f t="shared" si="9"/>
        <v>5.0000000000000044</v>
      </c>
      <c r="AO24" s="2">
        <v>10</v>
      </c>
      <c r="AP24" s="2">
        <v>0.7147</v>
      </c>
      <c r="AQ24" s="2">
        <f t="shared" si="10"/>
        <v>24.29999999999999</v>
      </c>
      <c r="AS24" s="2">
        <v>10</v>
      </c>
      <c r="AT24" s="2">
        <v>2.8012000000000001</v>
      </c>
      <c r="AU24" s="2">
        <f t="shared" si="11"/>
        <v>98.200000000000287</v>
      </c>
      <c r="AW24" s="2">
        <v>10</v>
      </c>
      <c r="AX24" s="2">
        <v>2.8008000000000002</v>
      </c>
      <c r="AY24" s="2">
        <f t="shared" si="12"/>
        <v>97.60000000000035</v>
      </c>
      <c r="BA24" s="2">
        <v>10</v>
      </c>
      <c r="BB24" s="2">
        <v>2.7953999999999999</v>
      </c>
      <c r="BC24" s="2">
        <f t="shared" si="13"/>
        <v>104.99999999999999</v>
      </c>
      <c r="BD24" s="2"/>
      <c r="BE24" s="1" t="s">
        <v>30</v>
      </c>
      <c r="BF24" s="1">
        <v>3.2134999999999998</v>
      </c>
      <c r="BG24" s="1">
        <f t="shared" si="14"/>
        <v>0.14219999999999988</v>
      </c>
      <c r="BI24" s="1" t="s">
        <v>30</v>
      </c>
      <c r="BJ24" s="1">
        <v>3.0348999999999999</v>
      </c>
      <c r="BK24" s="1">
        <f t="shared" si="15"/>
        <v>0.13430000000000009</v>
      </c>
      <c r="BM24" s="1" t="s">
        <v>30</v>
      </c>
      <c r="BN24" s="1">
        <v>3.2242000000000002</v>
      </c>
      <c r="BO24" s="1">
        <f t="shared" si="16"/>
        <v>0.14230000000000009</v>
      </c>
      <c r="BQ24" s="1" t="s">
        <v>30</v>
      </c>
      <c r="BR24" s="1">
        <v>3.0440999999999998</v>
      </c>
      <c r="BS24" s="1">
        <f t="shared" si="17"/>
        <v>0.13409999999999966</v>
      </c>
    </row>
    <row r="25" spans="1:71" x14ac:dyDescent="0.25">
      <c r="A25" s="2">
        <v>11</v>
      </c>
      <c r="B25" s="2">
        <v>0.73209999999999997</v>
      </c>
      <c r="C25" s="2">
        <f t="shared" si="0"/>
        <v>25.2</v>
      </c>
      <c r="E25" s="2"/>
      <c r="F25" s="2"/>
      <c r="G25" s="2"/>
      <c r="I25" s="2"/>
      <c r="J25" s="2"/>
      <c r="K25" s="2"/>
      <c r="M25" s="2">
        <v>11</v>
      </c>
      <c r="N25" s="2">
        <v>2.911</v>
      </c>
      <c r="O25" s="2">
        <f t="shared" si="3"/>
        <v>100.99999999999997</v>
      </c>
      <c r="Q25" s="2">
        <v>11</v>
      </c>
      <c r="R25" s="2">
        <v>1.0214000000000001</v>
      </c>
      <c r="S25" s="2">
        <f t="shared" si="4"/>
        <v>24.900000000000034</v>
      </c>
      <c r="T25" s="2"/>
      <c r="U25" s="2">
        <v>11</v>
      </c>
      <c r="V25" s="2">
        <v>0.67869999999999997</v>
      </c>
      <c r="W25" s="2">
        <f t="shared" si="5"/>
        <v>4.7999999999999154</v>
      </c>
      <c r="Y25" s="2">
        <v>11</v>
      </c>
      <c r="Z25" s="2">
        <v>0.68049999999999999</v>
      </c>
      <c r="AA25" s="2">
        <f t="shared" si="6"/>
        <v>4.8000000000000265</v>
      </c>
      <c r="AC25" s="2">
        <v>11</v>
      </c>
      <c r="AD25" s="2">
        <v>0.98460000000000003</v>
      </c>
      <c r="AE25" s="2">
        <f t="shared" si="7"/>
        <v>4.9000000000000155</v>
      </c>
      <c r="AG25" s="2">
        <v>11</v>
      </c>
      <c r="AH25" s="2">
        <v>0.98650000000000004</v>
      </c>
      <c r="AI25" s="2">
        <f t="shared" si="8"/>
        <v>5.0999999999999934</v>
      </c>
      <c r="AJ25" s="2"/>
      <c r="AK25" s="2">
        <v>11</v>
      </c>
      <c r="AL25" s="2">
        <v>0.98540000000000005</v>
      </c>
      <c r="AM25" s="2">
        <f t="shared" si="9"/>
        <v>4.9000000000000155</v>
      </c>
      <c r="AO25" s="2">
        <v>11</v>
      </c>
      <c r="AP25" s="2">
        <v>0.74019999999999997</v>
      </c>
      <c r="AQ25" s="2">
        <f t="shared" si="10"/>
        <v>25.499999999999968</v>
      </c>
      <c r="AS25" s="2">
        <v>11</v>
      </c>
      <c r="AT25" s="2">
        <v>2.9011</v>
      </c>
      <c r="AU25" s="2">
        <f t="shared" si="11"/>
        <v>99.899999999999878</v>
      </c>
      <c r="AW25" s="2">
        <v>11</v>
      </c>
      <c r="AX25" s="2">
        <v>2.9015</v>
      </c>
      <c r="AY25" s="2">
        <f t="shared" si="12"/>
        <v>100.69999999999979</v>
      </c>
      <c r="BA25" s="2">
        <v>11</v>
      </c>
      <c r="BB25" s="2">
        <v>2.8953000000000002</v>
      </c>
      <c r="BC25" s="2">
        <f t="shared" si="13"/>
        <v>99.900000000000318</v>
      </c>
      <c r="BD25" s="2"/>
      <c r="BE25" s="1">
        <v>10</v>
      </c>
      <c r="BF25" s="1">
        <v>3.3607999999999998</v>
      </c>
      <c r="BG25" s="1">
        <f t="shared" si="14"/>
        <v>0.14729999999999999</v>
      </c>
      <c r="BI25" s="1">
        <v>10</v>
      </c>
      <c r="BJ25" s="1">
        <v>3.1791</v>
      </c>
      <c r="BK25" s="1">
        <f t="shared" si="15"/>
        <v>0.14420000000000011</v>
      </c>
      <c r="BM25" s="1"/>
      <c r="BN25" s="1"/>
      <c r="BO25" s="1">
        <f>AVERAGE(BO9:BO24) * 1000</f>
        <v>143.53333333333336</v>
      </c>
      <c r="BQ25" s="1">
        <v>10</v>
      </c>
      <c r="BR25" s="1">
        <v>3.1751</v>
      </c>
      <c r="BS25" s="1">
        <f t="shared" si="17"/>
        <v>0.13100000000000023</v>
      </c>
    </row>
    <row r="26" spans="1:71" x14ac:dyDescent="0.25">
      <c r="A26" s="2">
        <v>12</v>
      </c>
      <c r="B26" s="2">
        <v>0.75749999999999995</v>
      </c>
      <c r="C26" s="2">
        <f t="shared" si="0"/>
        <v>25.399999999999977</v>
      </c>
      <c r="E26" s="2"/>
      <c r="F26" s="2"/>
      <c r="G26" s="2"/>
      <c r="I26" s="2"/>
      <c r="J26" s="2"/>
      <c r="K26" s="2"/>
      <c r="M26" s="2">
        <v>12</v>
      </c>
      <c r="N26" s="2">
        <v>3.0110000000000001</v>
      </c>
      <c r="O26" s="2">
        <f t="shared" si="3"/>
        <v>100.00000000000009</v>
      </c>
      <c r="Q26" s="2">
        <v>12</v>
      </c>
      <c r="R26" s="2">
        <v>1.0467</v>
      </c>
      <c r="S26" s="2">
        <f t="shared" si="4"/>
        <v>25.299999999999876</v>
      </c>
      <c r="T26" s="2"/>
      <c r="U26" s="2">
        <v>12</v>
      </c>
      <c r="V26" s="2">
        <v>0.68379999999999996</v>
      </c>
      <c r="W26" s="2">
        <f t="shared" si="5"/>
        <v>5.0999999999999934</v>
      </c>
      <c r="Y26" s="2">
        <v>12</v>
      </c>
      <c r="Z26" s="2">
        <v>0.68559999999999999</v>
      </c>
      <c r="AA26" s="2">
        <f t="shared" si="6"/>
        <v>5.0999999999999934</v>
      </c>
      <c r="AC26" s="2">
        <v>12</v>
      </c>
      <c r="AD26" s="2">
        <v>0.98960000000000004</v>
      </c>
      <c r="AE26" s="2">
        <f t="shared" si="7"/>
        <v>5.0000000000000044</v>
      </c>
      <c r="AG26" s="2">
        <v>12</v>
      </c>
      <c r="AH26" s="2">
        <v>0.99150000000000005</v>
      </c>
      <c r="AI26" s="2">
        <f t="shared" si="8"/>
        <v>5.0000000000000044</v>
      </c>
      <c r="AJ26" s="2"/>
      <c r="AK26" s="2">
        <v>12</v>
      </c>
      <c r="AL26" s="2">
        <v>0.99039999999999995</v>
      </c>
      <c r="AM26" s="2">
        <f t="shared" si="9"/>
        <v>4.9999999999998934</v>
      </c>
      <c r="AO26" s="2">
        <v>12</v>
      </c>
      <c r="AP26" s="2">
        <v>0.76580000000000004</v>
      </c>
      <c r="AQ26" s="2">
        <f t="shared" si="10"/>
        <v>25.600000000000065</v>
      </c>
      <c r="AS26" s="2">
        <v>12</v>
      </c>
      <c r="AT26" s="2">
        <v>3.0013999999999998</v>
      </c>
      <c r="AU26" s="2">
        <f t="shared" si="11"/>
        <v>100.29999999999984</v>
      </c>
      <c r="AW26" s="2">
        <v>12</v>
      </c>
      <c r="AX26" s="2">
        <v>3.0011000000000001</v>
      </c>
      <c r="AY26" s="2">
        <f t="shared" si="12"/>
        <v>99.600000000000136</v>
      </c>
      <c r="BA26" s="2">
        <v>12</v>
      </c>
      <c r="BB26" s="2">
        <v>2.9943</v>
      </c>
      <c r="BC26" s="2">
        <f t="shared" si="13"/>
        <v>98.999999999999758</v>
      </c>
      <c r="BD26" s="2"/>
      <c r="BF26" s="1"/>
      <c r="BG26" s="1">
        <f>AVERAGE(BG10:BG25) * 1000</f>
        <v>143.05624999999998</v>
      </c>
      <c r="BI26" s="1">
        <v>11</v>
      </c>
      <c r="BJ26" s="1">
        <v>3.3138000000000001</v>
      </c>
      <c r="BK26" s="1">
        <f t="shared" si="15"/>
        <v>0.13470000000000004</v>
      </c>
      <c r="BN26" s="1"/>
      <c r="BO26" s="1"/>
      <c r="BQ26" s="1">
        <v>11</v>
      </c>
      <c r="BR26" s="1">
        <v>3.3096999999999999</v>
      </c>
      <c r="BS26" s="1">
        <f t="shared" si="17"/>
        <v>0.13459999999999983</v>
      </c>
    </row>
    <row r="27" spans="1:71" x14ac:dyDescent="0.25">
      <c r="A27" s="2">
        <v>13</v>
      </c>
      <c r="B27" s="2">
        <v>0.78210000000000002</v>
      </c>
      <c r="C27" s="2">
        <f t="shared" si="0"/>
        <v>24.600000000000065</v>
      </c>
      <c r="E27" s="2"/>
      <c r="F27" s="2"/>
      <c r="G27" s="2"/>
      <c r="I27" s="2"/>
      <c r="J27" s="2"/>
      <c r="K27" s="2"/>
      <c r="M27" s="2">
        <v>13</v>
      </c>
      <c r="N27" s="2">
        <v>3.1110000000000002</v>
      </c>
      <c r="O27" s="2">
        <f t="shared" si="3"/>
        <v>100.00000000000009</v>
      </c>
      <c r="Q27" s="2">
        <v>13</v>
      </c>
      <c r="R27" s="2">
        <v>1.0713999999999999</v>
      </c>
      <c r="S27" s="2">
        <f t="shared" si="4"/>
        <v>24.699999999999946</v>
      </c>
      <c r="T27" s="2"/>
      <c r="U27" s="2">
        <v>13</v>
      </c>
      <c r="V27" s="2">
        <v>0.68879999999999997</v>
      </c>
      <c r="W27" s="2">
        <f t="shared" si="5"/>
        <v>5.0000000000000044</v>
      </c>
      <c r="Y27" s="2">
        <v>13</v>
      </c>
      <c r="Z27" s="2">
        <v>0.69040000000000001</v>
      </c>
      <c r="AA27" s="2">
        <f t="shared" si="6"/>
        <v>4.8000000000000265</v>
      </c>
      <c r="AC27" s="2">
        <v>13</v>
      </c>
      <c r="AD27" s="2">
        <v>0.99460000000000004</v>
      </c>
      <c r="AE27" s="2">
        <f t="shared" si="7"/>
        <v>5.0000000000000044</v>
      </c>
      <c r="AG27" s="2">
        <v>13</v>
      </c>
      <c r="AH27" s="2">
        <v>0.99660000000000004</v>
      </c>
      <c r="AI27" s="2">
        <f t="shared" si="8"/>
        <v>5.0999999999999934</v>
      </c>
      <c r="AJ27" s="2"/>
      <c r="AK27" s="2">
        <v>13</v>
      </c>
      <c r="AL27" s="2">
        <v>0.99529999999999996</v>
      </c>
      <c r="AM27" s="2">
        <f t="shared" si="9"/>
        <v>4.9000000000000155</v>
      </c>
      <c r="AO27" s="2">
        <v>13</v>
      </c>
      <c r="AP27" s="2">
        <v>0.79169999999999996</v>
      </c>
      <c r="AQ27" s="2">
        <f t="shared" si="10"/>
        <v>25.899999999999924</v>
      </c>
      <c r="AS27" s="2">
        <v>13</v>
      </c>
      <c r="AT27" s="2">
        <v>3.1013000000000002</v>
      </c>
      <c r="AU27" s="2">
        <f t="shared" si="11"/>
        <v>99.900000000000318</v>
      </c>
      <c r="AW27" s="2">
        <v>13</v>
      </c>
      <c r="AX27" s="2">
        <v>3.1015000000000001</v>
      </c>
      <c r="AY27" s="2">
        <f t="shared" si="12"/>
        <v>100.40000000000005</v>
      </c>
      <c r="BA27" s="2">
        <v>13</v>
      </c>
      <c r="BB27" s="2">
        <v>3.0943000000000001</v>
      </c>
      <c r="BC27" s="2">
        <f t="shared" si="13"/>
        <v>100.00000000000009</v>
      </c>
      <c r="BD27" s="2"/>
      <c r="BF27" s="1"/>
      <c r="BG27" s="1"/>
      <c r="BK27" s="1">
        <f>AVERAGE(BK10:BK26) * 1000</f>
        <v>135.38235294117646</v>
      </c>
      <c r="BN27" s="1"/>
      <c r="BO27" s="1"/>
      <c r="BS27" s="1">
        <f>AVERAGE(BS10:BS26) * 1000</f>
        <v>135.19411764705879</v>
      </c>
    </row>
    <row r="28" spans="1:71" x14ac:dyDescent="0.25">
      <c r="A28" s="2">
        <v>14</v>
      </c>
      <c r="B28" s="2">
        <v>0.80910000000000004</v>
      </c>
      <c r="C28" s="2">
        <f t="shared" si="0"/>
        <v>27.000000000000025</v>
      </c>
      <c r="E28" s="2"/>
      <c r="F28" s="2"/>
      <c r="G28" s="2"/>
      <c r="I28" s="2"/>
      <c r="J28" s="2"/>
      <c r="K28" s="2"/>
      <c r="M28" s="2">
        <v>14</v>
      </c>
      <c r="N28" s="2">
        <v>3.2069999999999999</v>
      </c>
      <c r="O28" s="2">
        <f t="shared" si="3"/>
        <v>95.999999999999645</v>
      </c>
      <c r="Q28" s="2">
        <v>14</v>
      </c>
      <c r="R28" s="2">
        <v>1.0964</v>
      </c>
      <c r="S28" s="2">
        <f t="shared" si="4"/>
        <v>25.000000000000135</v>
      </c>
      <c r="T28" s="2"/>
      <c r="U28" s="2">
        <v>14</v>
      </c>
      <c r="V28" s="2">
        <v>0.69350000000000001</v>
      </c>
      <c r="W28" s="2">
        <f t="shared" si="5"/>
        <v>4.7000000000000375</v>
      </c>
      <c r="Y28" s="2">
        <v>14</v>
      </c>
      <c r="Z28" s="2">
        <v>0.69530000000000003</v>
      </c>
      <c r="AA28" s="2">
        <f t="shared" si="6"/>
        <v>4.9000000000000155</v>
      </c>
      <c r="AC28" s="2">
        <v>14</v>
      </c>
      <c r="AD28" s="2">
        <v>1</v>
      </c>
      <c r="AE28" s="2">
        <f t="shared" si="7"/>
        <v>5.3999999999999604</v>
      </c>
      <c r="AG28" s="2">
        <v>14</v>
      </c>
      <c r="AH28" s="2">
        <v>1.0019</v>
      </c>
      <c r="AI28" s="2">
        <f t="shared" si="8"/>
        <v>5.2999999999999714</v>
      </c>
      <c r="AJ28" s="2"/>
      <c r="AK28" s="2">
        <v>14</v>
      </c>
      <c r="AL28" s="2">
        <v>1.0004999999999999</v>
      </c>
      <c r="AM28" s="2">
        <f t="shared" si="9"/>
        <v>5.1999999999999824</v>
      </c>
      <c r="AO28" s="2">
        <v>14</v>
      </c>
      <c r="AP28" s="2">
        <v>0.8175</v>
      </c>
      <c r="AQ28" s="2">
        <f t="shared" si="10"/>
        <v>25.800000000000047</v>
      </c>
      <c r="AS28" s="2">
        <v>14</v>
      </c>
      <c r="AT28" s="2">
        <v>3.2000999999999999</v>
      </c>
      <c r="AU28" s="2">
        <f t="shared" si="11"/>
        <v>98.799999999999784</v>
      </c>
      <c r="AW28" s="2">
        <v>14</v>
      </c>
      <c r="AX28" s="2">
        <v>3.1999</v>
      </c>
      <c r="AY28" s="2">
        <f t="shared" si="12"/>
        <v>98.399999999999821</v>
      </c>
      <c r="BA28" s="2">
        <v>14</v>
      </c>
      <c r="BB28" s="2">
        <v>3.1938</v>
      </c>
      <c r="BC28" s="2">
        <f t="shared" si="13"/>
        <v>99.499999999999915</v>
      </c>
      <c r="BD28" s="2"/>
      <c r="BF28" s="1"/>
      <c r="BG28" s="1"/>
    </row>
    <row r="29" spans="1:71" x14ac:dyDescent="0.25">
      <c r="A29" s="2">
        <v>15</v>
      </c>
      <c r="B29" s="2">
        <v>0.83330000000000004</v>
      </c>
      <c r="C29" s="2">
        <f t="shared" si="0"/>
        <v>24.2</v>
      </c>
      <c r="E29" s="2"/>
      <c r="F29" s="2"/>
      <c r="G29" s="2"/>
      <c r="I29" s="2"/>
      <c r="J29" s="2"/>
      <c r="K29" s="2"/>
      <c r="M29" s="2">
        <v>15</v>
      </c>
      <c r="N29" s="2">
        <v>3.3069999999999999</v>
      </c>
      <c r="O29" s="2">
        <f t="shared" si="3"/>
        <v>100.00000000000009</v>
      </c>
      <c r="Q29" s="2">
        <v>15</v>
      </c>
      <c r="R29" s="2">
        <v>1.1212</v>
      </c>
      <c r="S29" s="2">
        <f t="shared" si="4"/>
        <v>24.799999999999933</v>
      </c>
      <c r="T29" s="2"/>
      <c r="U29" s="2">
        <v>15</v>
      </c>
      <c r="V29" s="2">
        <v>0.6986</v>
      </c>
      <c r="W29" s="2">
        <f t="shared" si="5"/>
        <v>5.0999999999999934</v>
      </c>
      <c r="Y29" s="2">
        <v>15</v>
      </c>
      <c r="Z29" s="2">
        <v>0.70020000000000004</v>
      </c>
      <c r="AA29" s="2">
        <f t="shared" si="6"/>
        <v>4.9000000000000155</v>
      </c>
      <c r="AC29" s="2">
        <v>15</v>
      </c>
      <c r="AD29" s="2">
        <v>1.0049999999999999</v>
      </c>
      <c r="AE29" s="2">
        <f t="shared" si="7"/>
        <v>4.9999999999998934</v>
      </c>
      <c r="AG29" s="2">
        <v>15</v>
      </c>
      <c r="AH29" s="2">
        <v>1.0069999999999999</v>
      </c>
      <c r="AI29" s="2">
        <f t="shared" si="8"/>
        <v>5.0999999999998824</v>
      </c>
      <c r="AJ29" s="2"/>
      <c r="AK29" s="2">
        <v>15</v>
      </c>
      <c r="AL29" s="2">
        <v>1.0053000000000001</v>
      </c>
      <c r="AM29" s="2">
        <f t="shared" si="9"/>
        <v>4.8000000000001375</v>
      </c>
      <c r="AO29" s="2">
        <v>15</v>
      </c>
      <c r="AP29" s="2">
        <v>0.84319999999999995</v>
      </c>
      <c r="AQ29" s="2">
        <f t="shared" si="10"/>
        <v>25.699999999999946</v>
      </c>
      <c r="AS29" s="2">
        <v>15</v>
      </c>
      <c r="AT29" s="2">
        <v>3.2999000000000001</v>
      </c>
      <c r="AU29" s="2">
        <f t="shared" si="11"/>
        <v>99.800000000000111</v>
      </c>
      <c r="AW29" s="2">
        <v>15</v>
      </c>
      <c r="AX29" s="2">
        <v>3.3003</v>
      </c>
      <c r="AY29" s="2">
        <f t="shared" si="12"/>
        <v>100.40000000000005</v>
      </c>
      <c r="BA29" s="2">
        <v>15</v>
      </c>
      <c r="BB29" s="2">
        <v>3.2936999999999999</v>
      </c>
      <c r="BC29" s="2">
        <f t="shared" si="13"/>
        <v>99.899999999999878</v>
      </c>
      <c r="BD29" s="2"/>
      <c r="BE29" s="2"/>
    </row>
    <row r="30" spans="1:71" x14ac:dyDescent="0.25">
      <c r="A30" s="2">
        <v>16</v>
      </c>
      <c r="B30" s="2">
        <v>0.85850000000000004</v>
      </c>
      <c r="C30" s="2">
        <f t="shared" si="0"/>
        <v>25.2</v>
      </c>
      <c r="E30" s="2"/>
      <c r="F30" s="2"/>
      <c r="G30" s="2"/>
      <c r="I30" s="2"/>
      <c r="J30" s="2"/>
      <c r="K30" s="2"/>
      <c r="M30" s="2">
        <v>16</v>
      </c>
      <c r="N30" s="2">
        <v>3.407</v>
      </c>
      <c r="O30" s="2">
        <f t="shared" si="3"/>
        <v>100.00000000000009</v>
      </c>
      <c r="Q30" s="2">
        <v>16</v>
      </c>
      <c r="R30" s="2">
        <v>1.1465000000000001</v>
      </c>
      <c r="S30" s="2">
        <f t="shared" si="4"/>
        <v>25.3000000000001</v>
      </c>
      <c r="T30" s="2"/>
      <c r="U30" s="2">
        <v>16</v>
      </c>
      <c r="V30" s="2">
        <v>0.70369999999999999</v>
      </c>
      <c r="W30" s="2">
        <f t="shared" si="5"/>
        <v>5.0999999999999934</v>
      </c>
      <c r="Y30" s="2">
        <v>16</v>
      </c>
      <c r="Z30" s="2">
        <v>0.70520000000000005</v>
      </c>
      <c r="AA30" s="2">
        <f t="shared" si="6"/>
        <v>5.0000000000000044</v>
      </c>
      <c r="AC30" s="2">
        <v>16</v>
      </c>
      <c r="AD30" s="2">
        <v>1.0099</v>
      </c>
      <c r="AE30" s="2">
        <f t="shared" si="7"/>
        <v>4.9000000000001265</v>
      </c>
      <c r="AG30" s="2">
        <v>16</v>
      </c>
      <c r="AH30" s="2">
        <v>1.012</v>
      </c>
      <c r="AI30" s="2">
        <f t="shared" si="8"/>
        <v>5.0000000000001155</v>
      </c>
      <c r="AJ30" s="2"/>
      <c r="AK30" s="2">
        <v>16</v>
      </c>
      <c r="AL30" s="2">
        <v>1.0103</v>
      </c>
      <c r="AM30" s="2">
        <f t="shared" si="9"/>
        <v>4.9999999999998934</v>
      </c>
      <c r="AO30" s="2">
        <v>16</v>
      </c>
      <c r="AP30" s="2">
        <v>0.86860000000000004</v>
      </c>
      <c r="AQ30" s="2">
        <f t="shared" si="10"/>
        <v>25.400000000000091</v>
      </c>
      <c r="AS30" s="2">
        <v>16</v>
      </c>
      <c r="AT30" s="2">
        <v>3.4</v>
      </c>
      <c r="AU30" s="2">
        <f t="shared" si="11"/>
        <v>100.09999999999985</v>
      </c>
      <c r="AW30" s="2">
        <v>16</v>
      </c>
      <c r="AX30" s="2">
        <v>3.4001000000000001</v>
      </c>
      <c r="AY30" s="2">
        <f t="shared" si="12"/>
        <v>99.800000000000111</v>
      </c>
      <c r="BA30" s="2">
        <v>16</v>
      </c>
      <c r="BB30" s="2">
        <v>3.3925000000000001</v>
      </c>
      <c r="BC30" s="2">
        <f t="shared" si="13"/>
        <v>98.800000000000225</v>
      </c>
      <c r="BD30" s="2"/>
      <c r="BE30" s="2"/>
    </row>
    <row r="31" spans="1:71" x14ac:dyDescent="0.25">
      <c r="A31" s="2">
        <v>17</v>
      </c>
      <c r="B31" s="2">
        <v>0.88319999999999999</v>
      </c>
      <c r="C31" s="2">
        <f t="shared" si="0"/>
        <v>24.699999999999946</v>
      </c>
      <c r="E31" s="2"/>
      <c r="F31" s="2"/>
      <c r="G31" s="2"/>
      <c r="I31" s="2"/>
      <c r="J31" s="2"/>
      <c r="K31" s="2"/>
      <c r="M31" s="2">
        <v>17</v>
      </c>
      <c r="N31" s="2">
        <v>3.5070000000000001</v>
      </c>
      <c r="O31" s="2">
        <f t="shared" si="3"/>
        <v>100.00000000000009</v>
      </c>
      <c r="Q31" s="2">
        <v>17</v>
      </c>
      <c r="R31" s="2">
        <v>1.1714</v>
      </c>
      <c r="S31" s="2">
        <f t="shared" si="4"/>
        <v>24.89999999999992</v>
      </c>
      <c r="T31" s="2"/>
      <c r="U31" s="2">
        <v>17</v>
      </c>
      <c r="V31" s="2">
        <v>0.70860000000000001</v>
      </c>
      <c r="W31" s="2">
        <f t="shared" si="5"/>
        <v>4.9000000000000155</v>
      </c>
      <c r="Y31" s="2">
        <v>17</v>
      </c>
      <c r="Z31" s="2">
        <v>0.71</v>
      </c>
      <c r="AA31" s="2">
        <f t="shared" si="6"/>
        <v>4.7999999999999154</v>
      </c>
      <c r="AC31" s="2">
        <v>17</v>
      </c>
      <c r="AD31" s="2">
        <v>1.0147999999999999</v>
      </c>
      <c r="AE31" s="2">
        <f t="shared" si="7"/>
        <v>4.8999999999999044</v>
      </c>
      <c r="AG31" s="2">
        <v>17</v>
      </c>
      <c r="AH31" s="2">
        <v>1.0169999999999999</v>
      </c>
      <c r="AI31" s="2">
        <f t="shared" si="8"/>
        <v>4.9999999999998934</v>
      </c>
      <c r="AJ31" s="2"/>
      <c r="AK31" s="2">
        <v>17</v>
      </c>
      <c r="AL31" s="2">
        <v>1.0152000000000001</v>
      </c>
      <c r="AM31" s="2">
        <f t="shared" si="9"/>
        <v>4.9000000000001265</v>
      </c>
      <c r="AO31" s="2">
        <v>17</v>
      </c>
      <c r="AP31" s="2">
        <v>0.89410000000000001</v>
      </c>
      <c r="AQ31" s="2">
        <f t="shared" si="10"/>
        <v>25.499999999999968</v>
      </c>
      <c r="AS31" s="2">
        <v>17</v>
      </c>
      <c r="AT31" s="2">
        <v>3.5</v>
      </c>
      <c r="AU31" s="2">
        <f t="shared" si="11"/>
        <v>100.00000000000009</v>
      </c>
      <c r="AW31" s="2">
        <v>17</v>
      </c>
      <c r="AX31" s="2">
        <v>3.5007000000000001</v>
      </c>
      <c r="AY31" s="2">
        <f t="shared" si="12"/>
        <v>100.60000000000002</v>
      </c>
      <c r="BA31" s="2">
        <v>17</v>
      </c>
      <c r="BB31" s="2">
        <v>3.4925999999999999</v>
      </c>
      <c r="BC31" s="2">
        <f t="shared" si="13"/>
        <v>100.09999999999985</v>
      </c>
      <c r="BD31" s="2"/>
      <c r="BE31" s="2"/>
    </row>
    <row r="32" spans="1:71" x14ac:dyDescent="0.25">
      <c r="A32" s="2">
        <v>18</v>
      </c>
      <c r="B32" s="2">
        <v>0.90890000000000004</v>
      </c>
      <c r="C32" s="2">
        <f t="shared" si="0"/>
        <v>25.700000000000056</v>
      </c>
      <c r="E32" s="2"/>
      <c r="F32" s="2"/>
      <c r="G32" s="2"/>
      <c r="I32" s="2"/>
      <c r="J32" s="2"/>
      <c r="K32" s="2"/>
      <c r="M32" s="2">
        <v>18</v>
      </c>
      <c r="N32" s="2">
        <v>3.6120000000000001</v>
      </c>
      <c r="O32" s="2">
        <f t="shared" si="3"/>
        <v>104.99999999999999</v>
      </c>
      <c r="Q32" s="2">
        <v>18</v>
      </c>
      <c r="R32" s="2">
        <v>1.1940999999999999</v>
      </c>
      <c r="S32" s="2">
        <f t="shared" si="4"/>
        <v>22.699999999999942</v>
      </c>
      <c r="T32" s="2"/>
      <c r="U32" s="2">
        <v>18</v>
      </c>
      <c r="V32" s="2">
        <v>0.71319999999999995</v>
      </c>
      <c r="W32" s="2">
        <f t="shared" si="5"/>
        <v>4.5999999999999375</v>
      </c>
      <c r="Y32" s="2">
        <v>18</v>
      </c>
      <c r="Z32" s="2">
        <v>0.71499999999999997</v>
      </c>
      <c r="AA32" s="2">
        <f t="shared" si="6"/>
        <v>5.0000000000000044</v>
      </c>
      <c r="AC32" s="2">
        <v>18</v>
      </c>
      <c r="AD32" s="2">
        <v>1.0197000000000001</v>
      </c>
      <c r="AE32" s="2">
        <f t="shared" si="7"/>
        <v>4.9000000000001265</v>
      </c>
      <c r="AG32" s="2">
        <v>18</v>
      </c>
      <c r="AH32" s="2">
        <v>1.022</v>
      </c>
      <c r="AI32" s="2">
        <f t="shared" si="8"/>
        <v>5.0000000000001155</v>
      </c>
      <c r="AJ32" s="2"/>
      <c r="AK32" s="2">
        <v>18</v>
      </c>
      <c r="AL32" s="2">
        <v>1.0202</v>
      </c>
      <c r="AM32" s="2">
        <f t="shared" si="9"/>
        <v>4.9999999999998934</v>
      </c>
      <c r="AO32" s="2">
        <v>18</v>
      </c>
      <c r="AP32" s="2">
        <v>0.91979999999999995</v>
      </c>
      <c r="AQ32" s="2">
        <f t="shared" si="10"/>
        <v>25.699999999999946</v>
      </c>
      <c r="AS32" s="2">
        <v>18</v>
      </c>
      <c r="AT32" s="2">
        <v>3.6017000000000001</v>
      </c>
      <c r="AU32" s="2">
        <f t="shared" si="11"/>
        <v>101.70000000000013</v>
      </c>
      <c r="AW32" s="2">
        <v>18</v>
      </c>
      <c r="AX32" s="2">
        <v>3.5994999999999999</v>
      </c>
      <c r="AY32" s="2">
        <f t="shared" si="12"/>
        <v>98.799999999999784</v>
      </c>
      <c r="BA32" s="2">
        <v>18</v>
      </c>
      <c r="BB32" s="2">
        <v>3.5884999999999998</v>
      </c>
      <c r="BC32" s="2">
        <f t="shared" si="13"/>
        <v>95.899999999999878</v>
      </c>
      <c r="BD32" s="2"/>
      <c r="BE32" s="2"/>
    </row>
    <row r="33" spans="1:57" x14ac:dyDescent="0.25">
      <c r="A33" s="2">
        <v>19</v>
      </c>
      <c r="B33" s="2">
        <v>0.93340000000000001</v>
      </c>
      <c r="C33" s="2">
        <f t="shared" si="0"/>
        <v>24.499999999999964</v>
      </c>
      <c r="E33" s="2"/>
      <c r="F33" s="2"/>
      <c r="G33" s="2"/>
      <c r="I33" s="2"/>
      <c r="J33" s="2"/>
      <c r="K33" s="2"/>
      <c r="M33" s="2">
        <v>19</v>
      </c>
      <c r="N33" s="2">
        <v>3.7120000000000002</v>
      </c>
      <c r="O33" s="2">
        <f t="shared" si="3"/>
        <v>100.00000000000009</v>
      </c>
      <c r="Q33" s="2">
        <v>19</v>
      </c>
      <c r="R33" s="2">
        <v>1.2188000000000001</v>
      </c>
      <c r="S33" s="2">
        <f t="shared" si="4"/>
        <v>24.700000000000166</v>
      </c>
      <c r="T33" s="2"/>
      <c r="U33" s="2">
        <v>19</v>
      </c>
      <c r="V33" s="2">
        <v>0.71809999999999996</v>
      </c>
      <c r="W33" s="2">
        <f t="shared" si="5"/>
        <v>4.9000000000000155</v>
      </c>
      <c r="Y33" s="2">
        <v>19</v>
      </c>
      <c r="Z33" s="2">
        <v>0.7198</v>
      </c>
      <c r="AA33" s="2">
        <f t="shared" si="6"/>
        <v>4.8000000000000265</v>
      </c>
      <c r="AC33" s="2">
        <v>19</v>
      </c>
      <c r="AD33" s="2">
        <v>1.0246999999999999</v>
      </c>
      <c r="AE33" s="2">
        <f t="shared" si="7"/>
        <v>4.9999999999998934</v>
      </c>
      <c r="AG33" s="2">
        <v>19</v>
      </c>
      <c r="AH33" s="2">
        <v>1.0270999999999999</v>
      </c>
      <c r="AI33" s="2">
        <f t="shared" si="8"/>
        <v>5.0999999999998824</v>
      </c>
      <c r="AJ33" s="2"/>
      <c r="AK33" s="2">
        <v>19</v>
      </c>
      <c r="AL33" s="2">
        <v>1.0251999999999999</v>
      </c>
      <c r="AM33" s="2">
        <f t="shared" si="9"/>
        <v>4.9999999999998934</v>
      </c>
      <c r="AO33" s="2">
        <v>19</v>
      </c>
      <c r="AP33" s="2">
        <v>0.94530000000000003</v>
      </c>
      <c r="AQ33" s="2">
        <f t="shared" si="10"/>
        <v>25.500000000000078</v>
      </c>
      <c r="AS33" s="2">
        <v>19</v>
      </c>
      <c r="AT33" s="2">
        <v>3.7014</v>
      </c>
      <c r="AU33" s="2">
        <f t="shared" si="11"/>
        <v>99.699999999999903</v>
      </c>
      <c r="AW33" s="2">
        <v>19</v>
      </c>
      <c r="AX33" s="2">
        <v>3.6998000000000002</v>
      </c>
      <c r="AY33" s="2">
        <f t="shared" si="12"/>
        <v>100.30000000000028</v>
      </c>
      <c r="BA33" s="2">
        <v>19</v>
      </c>
      <c r="BB33" s="2">
        <v>3.6884999999999999</v>
      </c>
      <c r="BC33" s="2">
        <f t="shared" si="13"/>
        <v>100.00000000000009</v>
      </c>
      <c r="BD33" s="2"/>
      <c r="BE33" s="2"/>
    </row>
    <row r="34" spans="1:57" x14ac:dyDescent="0.25">
      <c r="A34" s="2" t="s">
        <v>31</v>
      </c>
      <c r="B34" s="2">
        <v>0.95879999999999999</v>
      </c>
      <c r="C34" s="2">
        <f t="shared" si="0"/>
        <v>25.399999999999977</v>
      </c>
      <c r="E34" s="2"/>
      <c r="F34" s="2"/>
      <c r="G34" s="2"/>
      <c r="I34" s="2"/>
      <c r="J34" s="2"/>
      <c r="K34" s="2"/>
      <c r="O34" s="1">
        <f>AVERAGE(O9:O33)</f>
        <v>100.19999999999999</v>
      </c>
      <c r="Q34" s="2"/>
      <c r="R34" s="2"/>
      <c r="S34" s="2">
        <f>AVERAGE(S8:S33)</f>
        <v>24.811999999999998</v>
      </c>
      <c r="T34" s="2"/>
      <c r="U34" s="2" t="s">
        <v>32</v>
      </c>
      <c r="V34" s="2">
        <v>0.72330000000000005</v>
      </c>
      <c r="W34" s="2">
        <f t="shared" si="5"/>
        <v>5.2000000000000934</v>
      </c>
      <c r="Y34" s="2" t="s">
        <v>32</v>
      </c>
      <c r="Z34" s="2">
        <v>0.7248</v>
      </c>
      <c r="AA34" s="2">
        <f t="shared" si="6"/>
        <v>5.0000000000000044</v>
      </c>
      <c r="AC34" s="2" t="s">
        <v>32</v>
      </c>
      <c r="AD34" s="2">
        <v>1.0296000000000001</v>
      </c>
      <c r="AE34" s="2">
        <f t="shared" si="7"/>
        <v>4.9000000000001265</v>
      </c>
      <c r="AG34" s="2" t="s">
        <v>32</v>
      </c>
      <c r="AH34" s="2">
        <v>1.032</v>
      </c>
      <c r="AI34" s="2">
        <f t="shared" si="8"/>
        <v>4.9000000000001265</v>
      </c>
      <c r="AJ34" s="2"/>
      <c r="AK34" s="2" t="s">
        <v>32</v>
      </c>
      <c r="AL34" s="2">
        <v>1.0301</v>
      </c>
      <c r="AM34" s="2">
        <f t="shared" si="9"/>
        <v>4.9000000000001265</v>
      </c>
      <c r="AO34" s="2" t="s">
        <v>32</v>
      </c>
      <c r="AP34" s="2">
        <v>0.97089999999999999</v>
      </c>
      <c r="AQ34" s="2">
        <f t="shared" si="10"/>
        <v>25.599999999999955</v>
      </c>
      <c r="AS34" s="2" t="s">
        <v>32</v>
      </c>
      <c r="AT34" s="2">
        <v>3.8018000000000001</v>
      </c>
      <c r="AU34" s="2">
        <f t="shared" si="11"/>
        <v>100.40000000000005</v>
      </c>
      <c r="AW34" s="2" t="s">
        <v>32</v>
      </c>
      <c r="AX34" s="2">
        <v>3.7997999999999998</v>
      </c>
      <c r="AY34" s="2">
        <f t="shared" si="12"/>
        <v>99.999999999999645</v>
      </c>
      <c r="BA34" s="2" t="s">
        <v>32</v>
      </c>
      <c r="BB34" s="2">
        <v>3.7873999999999999</v>
      </c>
      <c r="BC34" s="2">
        <f t="shared" si="13"/>
        <v>98.899999999999991</v>
      </c>
      <c r="BD34" s="2"/>
      <c r="BE34" s="2"/>
    </row>
    <row r="35" spans="1:57" x14ac:dyDescent="0.25">
      <c r="A35" s="2" t="s">
        <v>33</v>
      </c>
      <c r="B35" s="2">
        <v>0.98350000000000004</v>
      </c>
      <c r="C35" s="2">
        <f t="shared" si="0"/>
        <v>24.700000000000056</v>
      </c>
      <c r="E35" s="2"/>
      <c r="F35" s="2"/>
      <c r="G35" s="2"/>
      <c r="I35" s="2"/>
      <c r="J35" s="2"/>
      <c r="K35" s="2"/>
      <c r="Q35" s="2"/>
      <c r="R35" s="2"/>
      <c r="S35" s="2"/>
      <c r="T35" s="2"/>
      <c r="U35" s="2" t="s">
        <v>34</v>
      </c>
      <c r="V35" s="2">
        <v>0.72819999999999996</v>
      </c>
      <c r="W35" s="2">
        <f t="shared" si="5"/>
        <v>4.8999999999999044</v>
      </c>
      <c r="Y35" s="2" t="s">
        <v>34</v>
      </c>
      <c r="Z35" s="2">
        <v>0.72960000000000003</v>
      </c>
      <c r="AA35" s="2">
        <f t="shared" si="6"/>
        <v>4.8000000000000265</v>
      </c>
      <c r="AC35" s="2" t="s">
        <v>34</v>
      </c>
      <c r="AD35" s="2">
        <v>1.0346</v>
      </c>
      <c r="AE35" s="2">
        <f t="shared" si="7"/>
        <v>4.9999999999998934</v>
      </c>
      <c r="AG35" s="2" t="s">
        <v>34</v>
      </c>
      <c r="AH35" s="2">
        <v>1.0370999999999999</v>
      </c>
      <c r="AI35" s="2">
        <f t="shared" si="8"/>
        <v>5.0999999999998824</v>
      </c>
      <c r="AJ35" s="2"/>
      <c r="AK35" s="2" t="s">
        <v>34</v>
      </c>
      <c r="AL35" s="2">
        <v>1.0349999999999999</v>
      </c>
      <c r="AM35" s="2">
        <f t="shared" si="9"/>
        <v>4.8999999999999044</v>
      </c>
      <c r="AO35" s="2" t="s">
        <v>34</v>
      </c>
      <c r="AP35" s="2">
        <v>0.99650000000000005</v>
      </c>
      <c r="AQ35" s="2">
        <f t="shared" si="10"/>
        <v>25.600000000000065</v>
      </c>
      <c r="AS35" s="2" t="s">
        <v>34</v>
      </c>
      <c r="AT35" s="2">
        <v>3.9016999999999999</v>
      </c>
      <c r="AU35" s="2">
        <f t="shared" si="11"/>
        <v>99.899999999999878</v>
      </c>
      <c r="AW35" s="2" t="s">
        <v>34</v>
      </c>
      <c r="AX35" s="2">
        <v>3.9001000000000001</v>
      </c>
      <c r="AY35" s="2">
        <f t="shared" si="12"/>
        <v>100.30000000000028</v>
      </c>
      <c r="BA35" s="2" t="s">
        <v>34</v>
      </c>
      <c r="BB35" s="2">
        <v>3.8872</v>
      </c>
      <c r="BC35" s="2">
        <f t="shared" si="13"/>
        <v>99.800000000000111</v>
      </c>
      <c r="BD35" s="2"/>
      <c r="BE35" s="2"/>
    </row>
    <row r="36" spans="1:57" x14ac:dyDescent="0.25">
      <c r="A36" s="2" t="s">
        <v>35</v>
      </c>
      <c r="B36" s="2">
        <v>1.0105</v>
      </c>
      <c r="C36" s="2">
        <f t="shared" si="0"/>
        <v>26.999999999999915</v>
      </c>
      <c r="E36" s="2"/>
      <c r="F36" s="2"/>
      <c r="G36" s="2"/>
      <c r="I36" s="2"/>
      <c r="J36" s="2"/>
      <c r="K36" s="2"/>
      <c r="Q36" s="2"/>
      <c r="R36" s="2"/>
      <c r="S36" s="2"/>
      <c r="T36" s="2"/>
      <c r="U36" s="2" t="s">
        <v>36</v>
      </c>
      <c r="V36" s="2">
        <v>0.73280000000000001</v>
      </c>
      <c r="W36" s="2">
        <f t="shared" si="5"/>
        <v>4.6000000000000485</v>
      </c>
      <c r="Y36" s="2" t="s">
        <v>36</v>
      </c>
      <c r="Z36" s="2">
        <v>0.73429999999999995</v>
      </c>
      <c r="AA36" s="2">
        <f t="shared" si="6"/>
        <v>4.6999999999999265</v>
      </c>
      <c r="AC36" s="2" t="s">
        <v>36</v>
      </c>
      <c r="AD36" s="2">
        <v>1.0399</v>
      </c>
      <c r="AE36" s="2">
        <f t="shared" si="7"/>
        <v>5.3000000000000824</v>
      </c>
      <c r="AG36" s="2" t="s">
        <v>36</v>
      </c>
      <c r="AH36" s="2">
        <v>1.0424</v>
      </c>
      <c r="AI36" s="2">
        <f t="shared" si="8"/>
        <v>5.3000000000000824</v>
      </c>
      <c r="AJ36" s="2"/>
      <c r="AK36" s="2" t="s">
        <v>36</v>
      </c>
      <c r="AL36" s="2">
        <v>1.0401</v>
      </c>
      <c r="AM36" s="2">
        <f t="shared" si="9"/>
        <v>5.1000000000001044</v>
      </c>
      <c r="AO36" s="2" t="s">
        <v>36</v>
      </c>
      <c r="AP36" s="2">
        <v>1.0225</v>
      </c>
      <c r="AQ36" s="2">
        <f t="shared" si="10"/>
        <v>25.999999999999911</v>
      </c>
      <c r="AS36" s="2" t="s">
        <v>36</v>
      </c>
      <c r="AT36" s="2">
        <v>4.0004</v>
      </c>
      <c r="AU36" s="2">
        <f t="shared" si="11"/>
        <v>98.700000000000017</v>
      </c>
      <c r="AW36" s="2" t="s">
        <v>36</v>
      </c>
      <c r="AX36" s="2">
        <v>3.9984000000000002</v>
      </c>
      <c r="AY36" s="2">
        <f t="shared" si="12"/>
        <v>98.300000000000054</v>
      </c>
      <c r="BA36" s="2" t="s">
        <v>36</v>
      </c>
      <c r="BB36" s="2">
        <v>3.9868000000000001</v>
      </c>
      <c r="BC36" s="2">
        <f t="shared" si="13"/>
        <v>99.600000000000136</v>
      </c>
      <c r="BD36" s="2"/>
      <c r="BE36" s="2"/>
    </row>
    <row r="37" spans="1:57" x14ac:dyDescent="0.25">
      <c r="A37" s="2" t="s">
        <v>37</v>
      </c>
      <c r="B37" s="2">
        <v>1.0346</v>
      </c>
      <c r="C37" s="2">
        <f t="shared" si="0"/>
        <v>24.100000000000009</v>
      </c>
      <c r="E37" s="2"/>
      <c r="F37" s="2"/>
      <c r="G37" s="2"/>
      <c r="I37" s="2"/>
      <c r="J37" s="2"/>
      <c r="K37" s="2"/>
      <c r="Q37" s="2"/>
      <c r="R37" s="2"/>
      <c r="S37" s="2"/>
      <c r="T37" s="2"/>
      <c r="U37" s="2" t="s">
        <v>38</v>
      </c>
      <c r="V37" s="2">
        <v>0.73760000000000003</v>
      </c>
      <c r="W37" s="2">
        <f t="shared" si="5"/>
        <v>4.8000000000000265</v>
      </c>
      <c r="Y37" s="2" t="s">
        <v>38</v>
      </c>
      <c r="Z37" s="2">
        <v>0.73909999999999998</v>
      </c>
      <c r="AA37" s="2">
        <f t="shared" si="6"/>
        <v>4.8000000000000265</v>
      </c>
      <c r="AC37" s="2" t="s">
        <v>38</v>
      </c>
      <c r="AD37" s="2">
        <v>1.0448999999999999</v>
      </c>
      <c r="AE37" s="2">
        <f t="shared" si="7"/>
        <v>4.9999999999998934</v>
      </c>
      <c r="AG37" s="2" t="s">
        <v>38</v>
      </c>
      <c r="AH37" s="2">
        <v>1.0475000000000001</v>
      </c>
      <c r="AI37" s="2">
        <f t="shared" si="8"/>
        <v>5.1000000000001044</v>
      </c>
      <c r="AJ37" s="2"/>
      <c r="AK37" s="2" t="s">
        <v>38</v>
      </c>
      <c r="AL37" s="2">
        <v>1.0450999999999999</v>
      </c>
      <c r="AM37" s="2">
        <f t="shared" si="9"/>
        <v>4.9999999999998934</v>
      </c>
      <c r="AO37" s="2" t="s">
        <v>38</v>
      </c>
      <c r="AP37" s="2">
        <v>1.048</v>
      </c>
      <c r="AQ37" s="2">
        <f t="shared" si="10"/>
        <v>25.500000000000078</v>
      </c>
      <c r="AS37" s="2"/>
      <c r="AT37" s="2"/>
      <c r="AU37" s="2">
        <f>AVERAGE(AU9:AU36)</f>
        <v>99.928571428571431</v>
      </c>
      <c r="AW37" s="2" t="s">
        <v>38</v>
      </c>
      <c r="AX37" s="2">
        <v>4.0990000000000002</v>
      </c>
      <c r="AY37" s="2">
        <f t="shared" si="12"/>
        <v>100.60000000000002</v>
      </c>
      <c r="BA37" s="2" t="s">
        <v>38</v>
      </c>
      <c r="BB37" s="2">
        <v>4.0869</v>
      </c>
      <c r="BC37" s="2">
        <f t="shared" si="13"/>
        <v>100.09999999999985</v>
      </c>
      <c r="BD37" s="2"/>
      <c r="BE37" s="2"/>
    </row>
    <row r="38" spans="1:57" x14ac:dyDescent="0.25">
      <c r="A38" s="2" t="s">
        <v>39</v>
      </c>
      <c r="B38" s="2">
        <v>1.06</v>
      </c>
      <c r="C38" s="2">
        <f t="shared" si="0"/>
        <v>25.400000000000091</v>
      </c>
      <c r="E38" s="2"/>
      <c r="F38" s="2"/>
      <c r="G38" s="2"/>
      <c r="I38" s="2"/>
      <c r="J38" s="2"/>
      <c r="K38" s="2"/>
      <c r="Q38" s="2"/>
      <c r="R38" s="2"/>
      <c r="S38" s="2"/>
      <c r="T38" s="2"/>
      <c r="U38" s="2" t="s">
        <v>40</v>
      </c>
      <c r="V38" s="2">
        <v>0.74270000000000003</v>
      </c>
      <c r="W38" s="2">
        <f t="shared" si="5"/>
        <v>5.0999999999999934</v>
      </c>
      <c r="Y38" s="2" t="s">
        <v>40</v>
      </c>
      <c r="Z38" s="2">
        <v>0.74409999999999998</v>
      </c>
      <c r="AA38" s="2">
        <f t="shared" si="6"/>
        <v>5.0000000000000044</v>
      </c>
      <c r="AC38" s="2" t="s">
        <v>40</v>
      </c>
      <c r="AD38" s="2">
        <v>1.0499000000000001</v>
      </c>
      <c r="AE38" s="2">
        <f t="shared" si="7"/>
        <v>5.0000000000001155</v>
      </c>
      <c r="AG38" s="2" t="s">
        <v>40</v>
      </c>
      <c r="AH38" s="2">
        <v>1.0525</v>
      </c>
      <c r="AI38" s="2">
        <f t="shared" si="8"/>
        <v>4.9999999999998934</v>
      </c>
      <c r="AJ38" s="2"/>
      <c r="AK38" s="2" t="s">
        <v>40</v>
      </c>
      <c r="AL38" s="2">
        <v>1.05</v>
      </c>
      <c r="AM38" s="2">
        <f t="shared" si="9"/>
        <v>4.9000000000001265</v>
      </c>
      <c r="AO38" s="2" t="s">
        <v>40</v>
      </c>
      <c r="AP38" s="2">
        <v>1.0734999999999999</v>
      </c>
      <c r="AQ38" s="2">
        <f t="shared" si="10"/>
        <v>25.499999999999858</v>
      </c>
      <c r="AS38" s="2"/>
      <c r="AT38" s="2"/>
      <c r="AU38" s="2"/>
      <c r="AW38" s="2" t="s">
        <v>40</v>
      </c>
      <c r="AX38" s="2">
        <v>4.1985999999999999</v>
      </c>
      <c r="AY38" s="2">
        <f t="shared" si="12"/>
        <v>99.599999999999682</v>
      </c>
      <c r="BA38" s="2" t="s">
        <v>40</v>
      </c>
      <c r="BB38" s="2">
        <v>4.1855000000000002</v>
      </c>
      <c r="BC38" s="2">
        <f t="shared" si="13"/>
        <v>98.60000000000025</v>
      </c>
      <c r="BD38" s="2"/>
      <c r="BE38" s="2"/>
    </row>
    <row r="39" spans="1:57" x14ac:dyDescent="0.25">
      <c r="A39" s="2" t="s">
        <v>41</v>
      </c>
      <c r="B39" s="2">
        <v>1.0843</v>
      </c>
      <c r="C39" s="2">
        <f t="shared" si="0"/>
        <v>24.29999999999999</v>
      </c>
      <c r="E39" s="2"/>
      <c r="F39" s="2"/>
      <c r="G39" s="2"/>
      <c r="I39" s="2"/>
      <c r="J39" s="2"/>
      <c r="K39" s="2"/>
      <c r="Q39" s="2"/>
      <c r="R39" s="2"/>
      <c r="S39" s="2"/>
      <c r="T39" s="2"/>
      <c r="U39" s="2" t="s">
        <v>42</v>
      </c>
      <c r="V39" s="2">
        <v>0.74760000000000004</v>
      </c>
      <c r="W39" s="2">
        <f t="shared" si="5"/>
        <v>4.9000000000000155</v>
      </c>
      <c r="Y39" s="2" t="s">
        <v>42</v>
      </c>
      <c r="Z39" s="2">
        <v>0.749</v>
      </c>
      <c r="AA39" s="2">
        <f t="shared" si="6"/>
        <v>4.9000000000000155</v>
      </c>
      <c r="AC39" s="2" t="s">
        <v>42</v>
      </c>
      <c r="AD39" s="2">
        <v>1.0548</v>
      </c>
      <c r="AE39" s="2">
        <f t="shared" si="7"/>
        <v>4.8999999999999044</v>
      </c>
      <c r="AG39" s="2" t="s">
        <v>42</v>
      </c>
      <c r="AH39" s="2">
        <v>1.0576000000000001</v>
      </c>
      <c r="AI39" s="2">
        <f t="shared" si="8"/>
        <v>5.1000000000001044</v>
      </c>
      <c r="AJ39" s="2"/>
      <c r="AK39" s="2" t="s">
        <v>42</v>
      </c>
      <c r="AL39" s="2">
        <v>1.0549999999999999</v>
      </c>
      <c r="AM39" s="2">
        <f t="shared" si="9"/>
        <v>4.9999999999998934</v>
      </c>
      <c r="AO39" s="2" t="s">
        <v>42</v>
      </c>
      <c r="AP39" s="2">
        <v>1.099</v>
      </c>
      <c r="AQ39" s="2">
        <f t="shared" si="10"/>
        <v>25.500000000000078</v>
      </c>
      <c r="AS39" s="2"/>
      <c r="AT39" s="2"/>
      <c r="AU39" s="2"/>
      <c r="AW39" s="2" t="s">
        <v>42</v>
      </c>
      <c r="AX39" s="2">
        <v>4.2988999999999997</v>
      </c>
      <c r="AY39" s="2">
        <f t="shared" si="12"/>
        <v>100.29999999999984</v>
      </c>
      <c r="BA39" s="2" t="s">
        <v>42</v>
      </c>
      <c r="BB39" s="2">
        <v>4.2851999999999997</v>
      </c>
      <c r="BC39" s="2">
        <f t="shared" si="13"/>
        <v>99.699999999999449</v>
      </c>
      <c r="BD39" s="2"/>
      <c r="BE39" s="2"/>
    </row>
    <row r="40" spans="1:57" x14ac:dyDescent="0.25">
      <c r="A40" s="2">
        <v>20</v>
      </c>
      <c r="B40" s="2">
        <v>1.1120000000000001</v>
      </c>
      <c r="C40" s="2">
        <f t="shared" si="0"/>
        <v>27.70000000000006</v>
      </c>
      <c r="E40" s="2"/>
      <c r="F40" s="2"/>
      <c r="G40" s="2"/>
      <c r="I40" s="2"/>
      <c r="J40" s="2"/>
      <c r="K40" s="2"/>
      <c r="Q40" s="2"/>
      <c r="R40" s="2"/>
      <c r="S40" s="2"/>
      <c r="T40" s="2"/>
      <c r="U40" s="2">
        <v>20</v>
      </c>
      <c r="V40" s="2">
        <v>0.75239999999999996</v>
      </c>
      <c r="W40" s="2">
        <f t="shared" si="5"/>
        <v>4.7999999999999154</v>
      </c>
      <c r="Y40" s="2">
        <v>20</v>
      </c>
      <c r="Z40" s="2">
        <v>0.75509999999999999</v>
      </c>
      <c r="AA40" s="2">
        <f t="shared" si="6"/>
        <v>6.0999999999999943</v>
      </c>
      <c r="AC40" s="2">
        <v>20</v>
      </c>
      <c r="AD40" s="2">
        <v>1.0584</v>
      </c>
      <c r="AE40" s="2">
        <f t="shared" si="7"/>
        <v>3.6000000000000476</v>
      </c>
      <c r="AG40" s="2">
        <v>20</v>
      </c>
      <c r="AH40" s="2">
        <v>1.0602</v>
      </c>
      <c r="AI40" s="2">
        <f t="shared" si="8"/>
        <v>2.5999999999999357</v>
      </c>
      <c r="AJ40" s="2"/>
      <c r="AK40" s="2">
        <v>20</v>
      </c>
      <c r="AL40" s="2">
        <v>1.0609</v>
      </c>
      <c r="AM40" s="2">
        <f t="shared" si="9"/>
        <v>5.9000000000000163</v>
      </c>
      <c r="AO40" s="2"/>
      <c r="AP40" s="2"/>
      <c r="AQ40" s="2">
        <f>AVERAGE(AQ8:AQ39)</f>
        <v>24.970967741935489</v>
      </c>
      <c r="AS40" s="2"/>
      <c r="AT40" s="2"/>
      <c r="AU40" s="2"/>
      <c r="AW40" s="2"/>
      <c r="AX40" s="2"/>
      <c r="AY40" s="2">
        <f>AVERAGE(AY9:AY39)</f>
        <v>99.851612903225785</v>
      </c>
      <c r="BA40" s="2"/>
      <c r="BB40" s="2"/>
      <c r="BC40" s="2">
        <f>AVERAGE(BC9:BC39)</f>
        <v>99.558064516129036</v>
      </c>
      <c r="BD40" s="2"/>
      <c r="BE40" s="2"/>
    </row>
    <row r="41" spans="1:57" x14ac:dyDescent="0.25">
      <c r="A41" s="2">
        <v>21</v>
      </c>
      <c r="B41" s="2">
        <v>1.1355999999999999</v>
      </c>
      <c r="C41" s="2">
        <f t="shared" si="0"/>
        <v>23.599999999999845</v>
      </c>
      <c r="E41" s="2"/>
      <c r="F41" s="2"/>
      <c r="G41" s="2"/>
      <c r="I41" s="2"/>
      <c r="J41" s="2"/>
      <c r="K41" s="2"/>
      <c r="Q41" s="2"/>
      <c r="R41" s="2"/>
      <c r="S41" s="2"/>
      <c r="T41" s="2"/>
      <c r="U41" s="2">
        <v>21</v>
      </c>
      <c r="V41" s="2">
        <v>0.75719999999999998</v>
      </c>
      <c r="W41" s="2">
        <f t="shared" si="5"/>
        <v>4.8000000000000265</v>
      </c>
      <c r="Y41" s="2">
        <v>21</v>
      </c>
      <c r="Z41" s="2">
        <v>0.76</v>
      </c>
      <c r="AA41" s="2">
        <f t="shared" si="6"/>
        <v>4.9000000000000155</v>
      </c>
      <c r="AC41" s="2">
        <v>21</v>
      </c>
      <c r="AD41" s="2">
        <v>1.0632999999999999</v>
      </c>
      <c r="AE41" s="2">
        <f t="shared" si="7"/>
        <v>4.8999999999999044</v>
      </c>
      <c r="AG41" s="2">
        <v>21</v>
      </c>
      <c r="AH41" s="2">
        <v>1.0651999999999999</v>
      </c>
      <c r="AI41" s="2">
        <f t="shared" si="8"/>
        <v>4.9999999999998934</v>
      </c>
      <c r="AJ41" s="2"/>
      <c r="AK41" s="2">
        <v>21</v>
      </c>
      <c r="AL41" s="2">
        <v>1.0658000000000001</v>
      </c>
      <c r="AM41" s="2">
        <f t="shared" si="9"/>
        <v>4.9000000000001265</v>
      </c>
      <c r="AO41" s="2"/>
      <c r="AP41" s="2"/>
      <c r="AQ41" s="2"/>
      <c r="AS41" s="2"/>
      <c r="AT41" s="2"/>
      <c r="AU41" s="2"/>
      <c r="AW41" s="2"/>
      <c r="AX41" s="2"/>
      <c r="AY41" s="2"/>
      <c r="BA41" s="2"/>
      <c r="BB41" s="2"/>
      <c r="BC41" s="2"/>
      <c r="BD41" s="2"/>
      <c r="BE41" s="2"/>
    </row>
    <row r="42" spans="1:57" x14ac:dyDescent="0.25">
      <c r="A42" s="2">
        <v>22</v>
      </c>
      <c r="B42" s="2">
        <v>1.1611</v>
      </c>
      <c r="C42" s="2">
        <f t="shared" si="0"/>
        <v>25.500000000000078</v>
      </c>
      <c r="E42" s="2"/>
      <c r="F42" s="2"/>
      <c r="G42" s="2"/>
      <c r="I42" s="2"/>
      <c r="J42" s="2"/>
      <c r="K42" s="2"/>
      <c r="Q42" s="2"/>
      <c r="R42" s="2"/>
      <c r="S42" s="2"/>
      <c r="T42" s="2"/>
      <c r="U42" s="2">
        <v>22</v>
      </c>
      <c r="V42" s="2">
        <v>0.76239999999999997</v>
      </c>
      <c r="W42" s="2">
        <f t="shared" si="5"/>
        <v>5.1999999999999824</v>
      </c>
      <c r="Y42" s="2">
        <v>22</v>
      </c>
      <c r="Z42" s="2">
        <v>0.76490000000000002</v>
      </c>
      <c r="AA42" s="2">
        <f t="shared" si="6"/>
        <v>4.9000000000000155</v>
      </c>
      <c r="AC42" s="2">
        <v>22</v>
      </c>
      <c r="AD42" s="2">
        <v>1.0682</v>
      </c>
      <c r="AE42" s="2">
        <f t="shared" si="7"/>
        <v>4.9000000000001265</v>
      </c>
      <c r="AG42" s="2">
        <v>22</v>
      </c>
      <c r="AH42" s="2">
        <v>1.0703</v>
      </c>
      <c r="AI42" s="2">
        <f t="shared" si="8"/>
        <v>5.1000000000001044</v>
      </c>
      <c r="AJ42" s="2"/>
      <c r="AK42" s="2">
        <v>22</v>
      </c>
      <c r="AL42" s="2">
        <v>1.0708</v>
      </c>
      <c r="AM42" s="2">
        <f t="shared" si="9"/>
        <v>4.9999999999998934</v>
      </c>
      <c r="AO42" s="2"/>
      <c r="AP42" s="2"/>
      <c r="AQ42" s="2"/>
      <c r="AS42" s="2"/>
      <c r="AT42" s="2"/>
      <c r="AU42" s="2"/>
      <c r="AW42" s="2"/>
      <c r="AX42" s="2"/>
      <c r="AY42" s="2"/>
      <c r="BA42" s="2"/>
      <c r="BB42" s="2"/>
      <c r="BC42" s="2"/>
      <c r="BD42" s="2"/>
      <c r="BE42" s="2"/>
    </row>
    <row r="43" spans="1:57" x14ac:dyDescent="0.25">
      <c r="A43" s="2">
        <v>23</v>
      </c>
      <c r="B43" s="2">
        <v>1.1856</v>
      </c>
      <c r="C43" s="2">
        <f t="shared" si="0"/>
        <v>24.499999999999964</v>
      </c>
      <c r="E43" s="2"/>
      <c r="F43" s="2"/>
      <c r="G43" s="2"/>
      <c r="I43" s="2"/>
      <c r="J43" s="2"/>
      <c r="K43" s="2"/>
      <c r="Q43" s="2"/>
      <c r="R43" s="2"/>
      <c r="S43" s="2"/>
      <c r="T43" s="2"/>
      <c r="U43" s="2">
        <v>23</v>
      </c>
      <c r="V43" s="2">
        <v>0.76729999999999998</v>
      </c>
      <c r="W43" s="2">
        <f t="shared" si="5"/>
        <v>4.9000000000000155</v>
      </c>
      <c r="Y43" s="2">
        <v>23</v>
      </c>
      <c r="Z43" s="2">
        <v>0.76980000000000004</v>
      </c>
      <c r="AA43" s="2">
        <f t="shared" si="6"/>
        <v>4.9000000000000155</v>
      </c>
      <c r="AC43" s="2">
        <v>23</v>
      </c>
      <c r="AD43" s="2">
        <v>1.0731999999999999</v>
      </c>
      <c r="AE43" s="2">
        <f t="shared" si="7"/>
        <v>4.9999999999998934</v>
      </c>
      <c r="AG43" s="2">
        <v>23</v>
      </c>
      <c r="AH43" s="2">
        <v>1.0752999999999999</v>
      </c>
      <c r="AI43" s="2">
        <f t="shared" si="8"/>
        <v>4.9999999999998934</v>
      </c>
      <c r="AJ43" s="2"/>
      <c r="AK43" s="2">
        <v>23</v>
      </c>
      <c r="AL43" s="2">
        <v>1.0757000000000001</v>
      </c>
      <c r="AM43" s="2">
        <f t="shared" si="9"/>
        <v>4.9000000000001265</v>
      </c>
      <c r="AO43" s="2"/>
      <c r="AP43" s="2"/>
      <c r="AQ43" s="2"/>
      <c r="AS43" s="2"/>
      <c r="AT43" s="2"/>
      <c r="AU43" s="2"/>
      <c r="AW43" s="2"/>
      <c r="AX43" s="2"/>
      <c r="AY43" s="2"/>
      <c r="BA43" s="2"/>
      <c r="BB43" s="2"/>
      <c r="BC43" s="2"/>
      <c r="BD43" s="2"/>
      <c r="BE43" s="2"/>
    </row>
    <row r="44" spans="1:57" x14ac:dyDescent="0.25">
      <c r="A44" s="2">
        <v>24</v>
      </c>
      <c r="B44" s="2">
        <v>1.2121</v>
      </c>
      <c r="C44" s="2">
        <f t="shared" si="0"/>
        <v>26.499999999999968</v>
      </c>
      <c r="E44" s="2"/>
      <c r="F44" s="2"/>
      <c r="G44" s="2"/>
      <c r="I44" s="2"/>
      <c r="J44" s="2"/>
      <c r="K44" s="2"/>
      <c r="Q44" s="2"/>
      <c r="R44" s="2"/>
      <c r="S44" s="2"/>
      <c r="T44" s="2"/>
      <c r="U44" s="2">
        <v>24</v>
      </c>
      <c r="V44" s="2">
        <v>0.77190000000000003</v>
      </c>
      <c r="W44" s="2">
        <f t="shared" si="5"/>
        <v>4.6000000000000485</v>
      </c>
      <c r="Y44" s="2">
        <v>24</v>
      </c>
      <c r="Z44" s="2">
        <v>0.77449999999999997</v>
      </c>
      <c r="AA44" s="2">
        <f t="shared" si="6"/>
        <v>4.6999999999999265</v>
      </c>
      <c r="AC44" s="2">
        <v>24</v>
      </c>
      <c r="AD44" s="2">
        <v>1.0785</v>
      </c>
      <c r="AE44" s="2">
        <f t="shared" si="7"/>
        <v>5.3000000000000824</v>
      </c>
      <c r="AG44" s="2">
        <v>24</v>
      </c>
      <c r="AH44" s="2">
        <v>1.0807</v>
      </c>
      <c r="AI44" s="2">
        <f t="shared" si="8"/>
        <v>5.4000000000000714</v>
      </c>
      <c r="AJ44" s="2"/>
      <c r="AK44" s="2">
        <v>24</v>
      </c>
      <c r="AL44" s="2">
        <v>1.0808</v>
      </c>
      <c r="AM44" s="2">
        <f t="shared" si="9"/>
        <v>5.0999999999998824</v>
      </c>
      <c r="AO44" s="2"/>
      <c r="AP44" s="2"/>
      <c r="AQ44" s="2"/>
      <c r="AS44" s="2"/>
      <c r="AT44" s="2"/>
      <c r="AU44" s="2"/>
      <c r="AW44" s="2"/>
      <c r="AX44" s="2"/>
      <c r="AY44" s="2"/>
      <c r="BA44" s="2"/>
      <c r="BB44" s="2"/>
      <c r="BC44" s="2"/>
      <c r="BD44" s="2"/>
      <c r="BE44" s="2"/>
    </row>
    <row r="45" spans="1:57" x14ac:dyDescent="0.25">
      <c r="A45" s="2">
        <v>25</v>
      </c>
      <c r="B45" s="2">
        <v>1.2363999999999999</v>
      </c>
      <c r="C45" s="2">
        <f t="shared" si="0"/>
        <v>24.29999999999999</v>
      </c>
      <c r="E45" s="2"/>
      <c r="F45" s="2"/>
      <c r="G45" s="2"/>
      <c r="I45" s="2"/>
      <c r="J45" s="2"/>
      <c r="K45" s="2"/>
      <c r="Q45" s="2"/>
      <c r="R45" s="2"/>
      <c r="S45" s="2"/>
      <c r="T45" s="2"/>
      <c r="U45" s="2">
        <v>25</v>
      </c>
      <c r="V45" s="2">
        <v>0.77680000000000005</v>
      </c>
      <c r="W45" s="2">
        <f t="shared" si="5"/>
        <v>4.9000000000000155</v>
      </c>
      <c r="Y45" s="2">
        <v>25</v>
      </c>
      <c r="Z45" s="2">
        <v>0.77959999999999996</v>
      </c>
      <c r="AA45" s="2">
        <f t="shared" si="6"/>
        <v>5.0999999999999934</v>
      </c>
      <c r="AC45" s="2">
        <v>25</v>
      </c>
      <c r="AD45" s="2">
        <v>1.0835999999999999</v>
      </c>
      <c r="AE45" s="2">
        <f t="shared" si="7"/>
        <v>5.0999999999998824</v>
      </c>
      <c r="AG45" s="2">
        <v>25</v>
      </c>
      <c r="AH45" s="2">
        <v>1.0858000000000001</v>
      </c>
      <c r="AI45" s="2">
        <f t="shared" si="8"/>
        <v>5.1000000000001044</v>
      </c>
      <c r="AJ45" s="2"/>
      <c r="AK45" s="2">
        <v>25</v>
      </c>
      <c r="AL45" s="2">
        <v>1.0858000000000001</v>
      </c>
      <c r="AM45" s="2">
        <f t="shared" si="9"/>
        <v>5.0000000000001155</v>
      </c>
      <c r="AO45" s="2"/>
      <c r="AP45" s="2"/>
      <c r="AQ45" s="2"/>
      <c r="AS45" s="2"/>
      <c r="AT45" s="2"/>
      <c r="AU45" s="2"/>
      <c r="AW45" s="2"/>
      <c r="AX45" s="2"/>
      <c r="AY45" s="2"/>
      <c r="BA45" s="2"/>
      <c r="BB45" s="2"/>
      <c r="BC45" s="2"/>
      <c r="BD45" s="2"/>
      <c r="BE45" s="2"/>
    </row>
    <row r="46" spans="1:57" x14ac:dyDescent="0.25">
      <c r="A46" s="2">
        <v>26</v>
      </c>
      <c r="B46" s="2">
        <v>1.262</v>
      </c>
      <c r="C46" s="2">
        <f t="shared" si="0"/>
        <v>25.600000000000065</v>
      </c>
      <c r="E46" s="2"/>
      <c r="F46" s="2"/>
      <c r="G46" s="2"/>
      <c r="I46" s="2"/>
      <c r="J46" s="2"/>
      <c r="K46" s="2"/>
      <c r="Q46" s="2"/>
      <c r="R46" s="2"/>
      <c r="S46" s="2"/>
      <c r="T46" s="2"/>
      <c r="U46" s="2">
        <v>26</v>
      </c>
      <c r="V46" s="2">
        <v>0.78210000000000002</v>
      </c>
      <c r="W46" s="2">
        <f t="shared" si="5"/>
        <v>5.2999999999999714</v>
      </c>
      <c r="Y46" s="2">
        <v>26</v>
      </c>
      <c r="Z46" s="2">
        <v>0.78459999999999996</v>
      </c>
      <c r="AA46" s="2">
        <f t="shared" si="6"/>
        <v>5.0000000000000044</v>
      </c>
      <c r="AC46" s="2">
        <v>26</v>
      </c>
      <c r="AD46" s="2">
        <v>1.0886</v>
      </c>
      <c r="AE46" s="2">
        <f t="shared" si="7"/>
        <v>5.0000000000001155</v>
      </c>
      <c r="AG46" s="2">
        <v>26</v>
      </c>
      <c r="AH46" s="2">
        <v>1.0908</v>
      </c>
      <c r="AI46" s="2">
        <f t="shared" si="8"/>
        <v>4.9999999999998934</v>
      </c>
      <c r="AJ46" s="2"/>
      <c r="AK46" s="2">
        <v>26</v>
      </c>
      <c r="AL46" s="2">
        <v>1.0908</v>
      </c>
      <c r="AM46" s="2">
        <f t="shared" si="9"/>
        <v>4.9999999999998934</v>
      </c>
      <c r="AO46" s="2"/>
      <c r="AP46" s="2"/>
      <c r="AQ46" s="2"/>
      <c r="AS46" s="2"/>
      <c r="AT46" s="2"/>
      <c r="AU46" s="2"/>
      <c r="AW46" s="2"/>
      <c r="AX46" s="2"/>
      <c r="AY46" s="2"/>
      <c r="BA46" s="2"/>
      <c r="BB46" s="2"/>
      <c r="BC46" s="2"/>
      <c r="BD46" s="2"/>
      <c r="BE46" s="2"/>
    </row>
    <row r="47" spans="1:57" x14ac:dyDescent="0.25">
      <c r="A47" s="2">
        <v>27</v>
      </c>
      <c r="B47" s="2">
        <v>1.2863</v>
      </c>
      <c r="C47" s="2">
        <f t="shared" si="0"/>
        <v>24.29999999999999</v>
      </c>
      <c r="E47" s="2"/>
      <c r="F47" s="2"/>
      <c r="G47" s="2"/>
      <c r="I47" s="2"/>
      <c r="J47" s="2"/>
      <c r="K47" s="2"/>
      <c r="Q47" s="2"/>
      <c r="R47" s="2"/>
      <c r="S47" s="2"/>
      <c r="T47" s="2"/>
      <c r="U47" s="2">
        <v>27</v>
      </c>
      <c r="V47" s="2">
        <v>0.78710000000000002</v>
      </c>
      <c r="W47" s="2">
        <f t="shared" si="5"/>
        <v>5.0000000000000044</v>
      </c>
      <c r="Y47" s="2">
        <v>27</v>
      </c>
      <c r="Z47" s="2">
        <v>0.78939999999999999</v>
      </c>
      <c r="AA47" s="2">
        <f t="shared" si="6"/>
        <v>4.8000000000000265</v>
      </c>
      <c r="AC47" s="2">
        <v>27</v>
      </c>
      <c r="AD47" s="2">
        <v>1.0934999999999999</v>
      </c>
      <c r="AE47" s="2">
        <f t="shared" si="7"/>
        <v>4.8999999999999044</v>
      </c>
      <c r="AG47" s="2">
        <v>27</v>
      </c>
      <c r="AH47" s="2">
        <v>1.0959000000000001</v>
      </c>
      <c r="AI47" s="2">
        <f t="shared" si="8"/>
        <v>5.1000000000001044</v>
      </c>
      <c r="AJ47" s="2"/>
      <c r="AK47" s="2">
        <v>27</v>
      </c>
      <c r="AL47" s="2">
        <v>1.0956999999999999</v>
      </c>
      <c r="AM47" s="2">
        <f t="shared" si="9"/>
        <v>4.8999999999999044</v>
      </c>
      <c r="AO47" s="2"/>
      <c r="AP47" s="2"/>
      <c r="AQ47" s="2"/>
      <c r="AS47" s="2"/>
      <c r="AT47" s="2"/>
      <c r="AU47" s="2"/>
      <c r="AW47" s="2"/>
      <c r="AX47" s="2"/>
      <c r="AY47" s="2"/>
      <c r="BA47" s="2"/>
      <c r="BB47" s="2"/>
      <c r="BC47" s="2"/>
      <c r="BD47" s="2"/>
      <c r="BE47" s="2"/>
    </row>
    <row r="48" spans="1:57" x14ac:dyDescent="0.25">
      <c r="A48" s="2">
        <v>28</v>
      </c>
      <c r="B48" s="2">
        <v>1.3125</v>
      </c>
      <c r="C48" s="2">
        <f t="shared" si="0"/>
        <v>26.200000000000003</v>
      </c>
      <c r="E48" s="2"/>
      <c r="F48" s="2"/>
      <c r="G48" s="2"/>
      <c r="I48" s="2"/>
      <c r="J48" s="2"/>
      <c r="K48" s="2"/>
      <c r="Q48" s="2"/>
      <c r="R48" s="2"/>
      <c r="S48" s="2"/>
      <c r="T48" s="2"/>
      <c r="U48" s="2">
        <v>28</v>
      </c>
      <c r="V48" s="2">
        <v>0.79179999999999995</v>
      </c>
      <c r="W48" s="2">
        <f t="shared" si="5"/>
        <v>4.6999999999999265</v>
      </c>
      <c r="Y48" s="2">
        <v>28</v>
      </c>
      <c r="Z48" s="2">
        <v>0.7944</v>
      </c>
      <c r="AA48" s="2">
        <f t="shared" si="6"/>
        <v>5.0000000000000044</v>
      </c>
      <c r="AC48" s="2">
        <v>28</v>
      </c>
      <c r="AD48" s="2">
        <v>1.0983000000000001</v>
      </c>
      <c r="AE48" s="2">
        <f t="shared" si="7"/>
        <v>4.8000000000001375</v>
      </c>
      <c r="AG48" s="2">
        <v>28</v>
      </c>
      <c r="AH48" s="2">
        <v>1.1007</v>
      </c>
      <c r="AI48" s="2">
        <f t="shared" si="8"/>
        <v>4.7999999999999154</v>
      </c>
      <c r="AJ48" s="2"/>
      <c r="AK48" s="2">
        <v>28</v>
      </c>
      <c r="AL48" s="2">
        <v>1.1006</v>
      </c>
      <c r="AM48" s="2">
        <f t="shared" si="9"/>
        <v>4.9000000000001265</v>
      </c>
      <c r="AO48" s="2"/>
      <c r="AP48" s="2"/>
      <c r="AQ48" s="2"/>
      <c r="AS48" s="2"/>
      <c r="AT48" s="2"/>
      <c r="AU48" s="2"/>
      <c r="AW48" s="2"/>
      <c r="AX48" s="2"/>
      <c r="AY48" s="2"/>
      <c r="BA48" s="2"/>
      <c r="BB48" s="2"/>
      <c r="BC48" s="2"/>
      <c r="BD48" s="2"/>
      <c r="BE48" s="2"/>
    </row>
    <row r="49" spans="1:57" x14ac:dyDescent="0.25">
      <c r="A49" s="2">
        <v>29</v>
      </c>
      <c r="B49" s="2">
        <v>1.3366</v>
      </c>
      <c r="C49" s="2">
        <f t="shared" si="0"/>
        <v>24.100000000000009</v>
      </c>
      <c r="E49" s="2"/>
      <c r="F49" s="2"/>
      <c r="G49" s="2"/>
      <c r="I49" s="2"/>
      <c r="J49" s="2"/>
      <c r="K49" s="2"/>
      <c r="Q49" s="2"/>
      <c r="R49" s="2"/>
      <c r="S49" s="2"/>
      <c r="T49" s="2"/>
      <c r="U49" s="2">
        <v>29</v>
      </c>
      <c r="V49" s="2">
        <v>0.79669999999999996</v>
      </c>
      <c r="W49" s="2">
        <f t="shared" si="5"/>
        <v>4.9000000000000155</v>
      </c>
      <c r="Y49" s="2">
        <v>29</v>
      </c>
      <c r="Z49" s="2">
        <v>0.79920000000000002</v>
      </c>
      <c r="AA49" s="2">
        <f t="shared" si="6"/>
        <v>4.8000000000000265</v>
      </c>
      <c r="AC49" s="2">
        <v>29</v>
      </c>
      <c r="AD49" s="2">
        <v>1.1032</v>
      </c>
      <c r="AE49" s="2">
        <f t="shared" si="7"/>
        <v>4.8999999999999044</v>
      </c>
      <c r="AG49" s="2">
        <v>29</v>
      </c>
      <c r="AH49" s="2">
        <v>1.1057999999999999</v>
      </c>
      <c r="AI49" s="2">
        <f t="shared" si="8"/>
        <v>5.0999999999998824</v>
      </c>
      <c r="AJ49" s="2"/>
      <c r="AK49" s="2">
        <v>29</v>
      </c>
      <c r="AL49" s="2">
        <v>1.1054999999999999</v>
      </c>
      <c r="AM49" s="2">
        <f t="shared" si="9"/>
        <v>4.8999999999999044</v>
      </c>
      <c r="AO49" s="2"/>
      <c r="AP49" s="2"/>
      <c r="AQ49" s="2"/>
      <c r="AS49" s="2"/>
      <c r="AT49" s="2"/>
      <c r="AU49" s="2"/>
      <c r="AW49" s="2"/>
      <c r="AX49" s="2"/>
      <c r="AY49" s="2"/>
      <c r="BA49" s="2"/>
      <c r="BB49" s="2"/>
      <c r="BC49" s="2"/>
      <c r="BD49" s="2"/>
      <c r="BE49" s="2"/>
    </row>
    <row r="50" spans="1:57" x14ac:dyDescent="0.25">
      <c r="A50" s="2" t="s">
        <v>43</v>
      </c>
      <c r="B50" s="2">
        <v>1.3619000000000001</v>
      </c>
      <c r="C50" s="2">
        <f t="shared" si="0"/>
        <v>25.3000000000001</v>
      </c>
      <c r="E50" s="2"/>
      <c r="F50" s="2"/>
      <c r="G50" s="2"/>
      <c r="I50" s="2"/>
      <c r="J50" s="2"/>
      <c r="K50" s="2"/>
      <c r="Q50" s="2"/>
      <c r="R50" s="2"/>
      <c r="S50" s="2"/>
      <c r="T50" s="2"/>
      <c r="U50" s="2" t="s">
        <v>44</v>
      </c>
      <c r="V50" s="2">
        <v>0.80189999999999995</v>
      </c>
      <c r="W50" s="2">
        <f t="shared" si="5"/>
        <v>5.1999999999999824</v>
      </c>
      <c r="Y50" s="2" t="s">
        <v>44</v>
      </c>
      <c r="Z50" s="2">
        <v>0.80430000000000001</v>
      </c>
      <c r="AA50" s="2">
        <f t="shared" si="6"/>
        <v>5.0999999999999934</v>
      </c>
      <c r="AC50" s="2" t="s">
        <v>44</v>
      </c>
      <c r="AD50" s="2">
        <v>1.1082000000000001</v>
      </c>
      <c r="AE50" s="2">
        <f t="shared" si="7"/>
        <v>5.0000000000001155</v>
      </c>
      <c r="AG50" s="2" t="s">
        <v>44</v>
      </c>
      <c r="AH50" s="2">
        <v>1.1109</v>
      </c>
      <c r="AI50" s="2">
        <f t="shared" si="8"/>
        <v>5.1000000000001044</v>
      </c>
      <c r="AJ50" s="2"/>
      <c r="AK50" s="2" t="s">
        <v>44</v>
      </c>
      <c r="AL50" s="2">
        <v>1.1106</v>
      </c>
      <c r="AM50" s="2">
        <f t="shared" si="9"/>
        <v>5.1000000000001044</v>
      </c>
      <c r="AO50" s="2"/>
      <c r="AP50" s="2"/>
      <c r="AQ50" s="2"/>
      <c r="AS50" s="2"/>
      <c r="AT50" s="2"/>
      <c r="AU50" s="2"/>
      <c r="AW50" s="2"/>
      <c r="AX50" s="2"/>
      <c r="AY50" s="2"/>
      <c r="BA50" s="2"/>
      <c r="BB50" s="2"/>
      <c r="BC50" s="2"/>
      <c r="BD50" s="2"/>
      <c r="BE50" s="2"/>
    </row>
    <row r="51" spans="1:57" x14ac:dyDescent="0.25">
      <c r="A51" s="2" t="s">
        <v>45</v>
      </c>
      <c r="B51" s="2">
        <v>1.3865000000000001</v>
      </c>
      <c r="C51" s="2">
        <f t="shared" si="0"/>
        <v>24.599999999999955</v>
      </c>
      <c r="E51" s="2"/>
      <c r="F51" s="2"/>
      <c r="G51" s="2"/>
      <c r="I51" s="2"/>
      <c r="J51" s="2"/>
      <c r="K51" s="2"/>
      <c r="Q51" s="2"/>
      <c r="R51" s="2"/>
      <c r="S51" s="2"/>
      <c r="T51" s="2"/>
      <c r="U51" s="2" t="s">
        <v>46</v>
      </c>
      <c r="V51" s="2">
        <v>0.80669999999999997</v>
      </c>
      <c r="W51" s="2">
        <f t="shared" si="5"/>
        <v>4.8000000000000265</v>
      </c>
      <c r="Y51" s="2" t="s">
        <v>46</v>
      </c>
      <c r="Z51" s="2">
        <v>0.80910000000000004</v>
      </c>
      <c r="AA51" s="2">
        <f t="shared" si="6"/>
        <v>4.8000000000000265</v>
      </c>
      <c r="AC51" s="2" t="s">
        <v>46</v>
      </c>
      <c r="AD51" s="2">
        <v>1.1132</v>
      </c>
      <c r="AE51" s="2">
        <f t="shared" si="7"/>
        <v>4.9999999999998934</v>
      </c>
      <c r="AG51" s="2" t="s">
        <v>46</v>
      </c>
      <c r="AH51" s="2">
        <v>1.1160000000000001</v>
      </c>
      <c r="AI51" s="2">
        <f t="shared" si="8"/>
        <v>5.1000000000001044</v>
      </c>
      <c r="AJ51" s="2"/>
      <c r="AK51" s="2" t="s">
        <v>46</v>
      </c>
      <c r="AL51" s="2">
        <v>1.1154999999999999</v>
      </c>
      <c r="AM51" s="2">
        <f t="shared" si="9"/>
        <v>4.8999999999999044</v>
      </c>
      <c r="AO51" s="2"/>
      <c r="AP51" s="2"/>
      <c r="AQ51" s="2"/>
      <c r="AS51" s="2"/>
      <c r="AT51" s="2"/>
      <c r="AU51" s="2"/>
      <c r="AW51" s="2"/>
      <c r="AX51" s="2"/>
      <c r="AY51" s="2"/>
      <c r="BA51" s="2"/>
      <c r="BB51" s="2"/>
      <c r="BC51" s="2"/>
      <c r="BD51" s="2"/>
      <c r="BE51" s="2"/>
    </row>
    <row r="52" spans="1:57" x14ac:dyDescent="0.25">
      <c r="A52" s="2" t="s">
        <v>47</v>
      </c>
      <c r="B52" s="2">
        <v>1.4127000000000001</v>
      </c>
      <c r="C52" s="2">
        <f t="shared" si="0"/>
        <v>26.200000000000003</v>
      </c>
      <c r="E52" s="2"/>
      <c r="F52" s="2"/>
      <c r="G52" s="2"/>
      <c r="I52" s="2"/>
      <c r="J52" s="2"/>
      <c r="K52" s="2"/>
      <c r="Q52" s="2"/>
      <c r="R52" s="2"/>
      <c r="S52" s="2"/>
      <c r="T52" s="2"/>
      <c r="U52" s="2" t="s">
        <v>48</v>
      </c>
      <c r="V52" s="2">
        <v>0.81140000000000001</v>
      </c>
      <c r="W52" s="2">
        <f t="shared" si="5"/>
        <v>4.7000000000000375</v>
      </c>
      <c r="Y52" s="2" t="s">
        <v>48</v>
      </c>
      <c r="Z52" s="2">
        <v>0.81379999999999997</v>
      </c>
      <c r="AA52" s="2">
        <f t="shared" si="6"/>
        <v>4.6999999999999265</v>
      </c>
      <c r="AC52" s="2" t="s">
        <v>48</v>
      </c>
      <c r="AD52" s="2">
        <v>1.1186</v>
      </c>
      <c r="AE52" s="2">
        <f t="shared" si="7"/>
        <v>5.4000000000000714</v>
      </c>
      <c r="AG52" s="2" t="s">
        <v>48</v>
      </c>
      <c r="AH52" s="2">
        <v>1.1212</v>
      </c>
      <c r="AI52" s="2">
        <f t="shared" si="8"/>
        <v>5.1999999999998714</v>
      </c>
      <c r="AJ52" s="2"/>
      <c r="AK52" s="2" t="s">
        <v>48</v>
      </c>
      <c r="AL52" s="2">
        <v>1.1206</v>
      </c>
      <c r="AM52" s="2">
        <f t="shared" si="9"/>
        <v>5.1000000000001044</v>
      </c>
      <c r="AO52" s="2"/>
      <c r="AP52" s="2"/>
      <c r="AQ52" s="2"/>
      <c r="AS52" s="2"/>
      <c r="AT52" s="2"/>
      <c r="AU52" s="2"/>
      <c r="AW52" s="2"/>
      <c r="AX52" s="2"/>
      <c r="AY52" s="2"/>
      <c r="BA52" s="2"/>
      <c r="BB52" s="2"/>
      <c r="BC52" s="2"/>
      <c r="BD52" s="2"/>
      <c r="BE52" s="2"/>
    </row>
    <row r="53" spans="1:57" x14ac:dyDescent="0.25">
      <c r="A53" s="2" t="s">
        <v>49</v>
      </c>
      <c r="B53" s="2">
        <v>1.4372</v>
      </c>
      <c r="C53" s="2">
        <f t="shared" si="0"/>
        <v>24.499999999999964</v>
      </c>
      <c r="E53" s="2"/>
      <c r="F53" s="2"/>
      <c r="G53" s="2"/>
      <c r="I53" s="2"/>
      <c r="J53" s="2"/>
      <c r="K53" s="2"/>
      <c r="Q53" s="2"/>
      <c r="R53" s="2"/>
      <c r="S53" s="2"/>
      <c r="T53" s="2"/>
      <c r="U53" s="2" t="s">
        <v>50</v>
      </c>
      <c r="V53" s="2">
        <v>0.81620000000000004</v>
      </c>
      <c r="W53" s="2">
        <f t="shared" si="5"/>
        <v>4.8000000000000265</v>
      </c>
      <c r="Y53" s="2" t="s">
        <v>50</v>
      </c>
      <c r="Z53" s="2">
        <v>0.81869999999999998</v>
      </c>
      <c r="AA53" s="2">
        <f t="shared" si="6"/>
        <v>4.9000000000000155</v>
      </c>
      <c r="AC53" s="2" t="s">
        <v>50</v>
      </c>
      <c r="AD53" s="2">
        <v>1.1234999999999999</v>
      </c>
      <c r="AE53" s="2">
        <f t="shared" si="7"/>
        <v>4.8999999999999044</v>
      </c>
      <c r="AG53" s="2" t="s">
        <v>50</v>
      </c>
      <c r="AH53" s="2">
        <v>1.1263000000000001</v>
      </c>
      <c r="AI53" s="2">
        <f t="shared" si="8"/>
        <v>5.1000000000001044</v>
      </c>
      <c r="AJ53" s="2"/>
      <c r="AK53" s="2" t="s">
        <v>50</v>
      </c>
      <c r="AL53" s="2">
        <v>1.1254</v>
      </c>
      <c r="AM53" s="2">
        <f t="shared" si="9"/>
        <v>4.7999999999999154</v>
      </c>
      <c r="AO53" s="2"/>
      <c r="AP53" s="2"/>
      <c r="AQ53" s="2"/>
      <c r="AS53" s="2"/>
      <c r="AT53" s="2"/>
      <c r="AU53" s="2"/>
      <c r="AW53" s="2"/>
      <c r="AX53" s="2"/>
      <c r="AY53" s="2"/>
      <c r="BA53" s="2"/>
      <c r="BB53" s="2"/>
      <c r="BC53" s="2"/>
      <c r="BD53" s="2"/>
      <c r="BE53" s="2"/>
    </row>
    <row r="54" spans="1:57" x14ac:dyDescent="0.25">
      <c r="A54" s="2" t="s">
        <v>51</v>
      </c>
      <c r="B54" s="2">
        <v>1.4625999999999999</v>
      </c>
      <c r="C54" s="2">
        <f t="shared" si="0"/>
        <v>25.399999999999867</v>
      </c>
      <c r="E54" s="2"/>
      <c r="F54" s="2"/>
      <c r="G54" s="2"/>
      <c r="I54" s="2"/>
      <c r="J54" s="2"/>
      <c r="K54" s="2"/>
      <c r="Q54" s="2"/>
      <c r="R54" s="2"/>
      <c r="S54" s="2"/>
      <c r="T54" s="2"/>
      <c r="U54" s="2" t="s">
        <v>52</v>
      </c>
      <c r="V54" s="2">
        <v>0.82130000000000003</v>
      </c>
      <c r="W54" s="2">
        <f t="shared" si="5"/>
        <v>5.0999999999999934</v>
      </c>
      <c r="Y54" s="2" t="s">
        <v>52</v>
      </c>
      <c r="Z54" s="2">
        <v>0.82369999999999999</v>
      </c>
      <c r="AA54" s="2">
        <f t="shared" si="6"/>
        <v>5.0000000000000044</v>
      </c>
      <c r="AC54" s="2" t="s">
        <v>52</v>
      </c>
      <c r="AD54" s="2">
        <v>1.1284000000000001</v>
      </c>
      <c r="AE54" s="2">
        <f t="shared" si="7"/>
        <v>4.9000000000001265</v>
      </c>
      <c r="AG54" s="2" t="s">
        <v>52</v>
      </c>
      <c r="AH54" s="2">
        <v>1.1313</v>
      </c>
      <c r="AI54" s="2">
        <f t="shared" si="8"/>
        <v>4.9999999999998934</v>
      </c>
      <c r="AJ54" s="2"/>
      <c r="AK54" s="2" t="s">
        <v>52</v>
      </c>
      <c r="AL54" s="2">
        <v>1.1304000000000001</v>
      </c>
      <c r="AM54" s="2">
        <f t="shared" si="9"/>
        <v>5.0000000000001155</v>
      </c>
      <c r="AO54" s="2"/>
      <c r="AP54" s="2"/>
      <c r="AQ54" s="2"/>
      <c r="AS54" s="2"/>
      <c r="AT54" s="2"/>
      <c r="AU54" s="2"/>
      <c r="AW54" s="2"/>
      <c r="AX54" s="2"/>
      <c r="AY54" s="2"/>
      <c r="BA54" s="2"/>
      <c r="BB54" s="2"/>
      <c r="BC54" s="2"/>
      <c r="BD54" s="2"/>
      <c r="BE54" s="2"/>
    </row>
    <row r="55" spans="1:57" x14ac:dyDescent="0.25">
      <c r="A55" s="2" t="s">
        <v>53</v>
      </c>
      <c r="B55" s="2">
        <v>1.4873000000000001</v>
      </c>
      <c r="C55" s="2">
        <f t="shared" si="0"/>
        <v>24.700000000000166</v>
      </c>
      <c r="E55" s="2"/>
      <c r="F55" s="2"/>
      <c r="G55" s="2"/>
      <c r="I55" s="2"/>
      <c r="J55" s="2"/>
      <c r="K55" s="2"/>
      <c r="Q55" s="2"/>
      <c r="R55" s="2"/>
      <c r="S55" s="2"/>
      <c r="T55" s="2"/>
      <c r="U55" s="2" t="s">
        <v>54</v>
      </c>
      <c r="V55" s="2">
        <v>0.82620000000000005</v>
      </c>
      <c r="W55" s="2">
        <f t="shared" si="5"/>
        <v>4.9000000000000155</v>
      </c>
      <c r="Y55" s="2" t="s">
        <v>54</v>
      </c>
      <c r="Z55" s="2">
        <v>0.82850000000000001</v>
      </c>
      <c r="AA55" s="2">
        <f t="shared" si="6"/>
        <v>4.8000000000000265</v>
      </c>
      <c r="AC55" s="2" t="s">
        <v>54</v>
      </c>
      <c r="AD55" s="2">
        <v>1.1334</v>
      </c>
      <c r="AE55" s="2">
        <f t="shared" si="7"/>
        <v>4.9999999999998934</v>
      </c>
      <c r="AG55" s="2" t="s">
        <v>54</v>
      </c>
      <c r="AH55" s="2">
        <v>1.1364000000000001</v>
      </c>
      <c r="AI55" s="2">
        <f t="shared" si="8"/>
        <v>5.1000000000001044</v>
      </c>
      <c r="AJ55" s="2"/>
      <c r="AK55" s="2" t="s">
        <v>54</v>
      </c>
      <c r="AL55" s="2">
        <v>1.1353</v>
      </c>
      <c r="AM55" s="2">
        <f t="shared" si="9"/>
        <v>4.8999999999999044</v>
      </c>
      <c r="AO55" s="2"/>
      <c r="AP55" s="2"/>
      <c r="AQ55" s="2"/>
      <c r="AS55" s="2"/>
      <c r="AT55" s="2"/>
      <c r="AU55" s="2"/>
      <c r="AW55" s="2"/>
      <c r="AX55" s="2"/>
      <c r="AY55" s="2"/>
      <c r="BA55" s="2"/>
      <c r="BB55" s="2"/>
      <c r="BC55" s="2"/>
      <c r="BD55" s="2"/>
      <c r="BE55" s="2"/>
    </row>
    <row r="56" spans="1:57" x14ac:dyDescent="0.25">
      <c r="A56" s="2">
        <v>30</v>
      </c>
      <c r="B56" s="2">
        <v>1.5098</v>
      </c>
      <c r="C56" s="2">
        <f t="shared" si="0"/>
        <v>22.499999999999964</v>
      </c>
      <c r="E56" s="2"/>
      <c r="F56" s="2"/>
      <c r="G56" s="2"/>
      <c r="I56" s="2"/>
      <c r="J56" s="2"/>
      <c r="K56" s="2"/>
      <c r="Q56" s="2"/>
      <c r="R56" s="2"/>
      <c r="S56" s="2"/>
      <c r="T56" s="2"/>
      <c r="U56" s="2">
        <v>30</v>
      </c>
      <c r="V56" s="2">
        <v>0.83099999999999996</v>
      </c>
      <c r="W56" s="2">
        <f t="shared" si="5"/>
        <v>4.7999999999999154</v>
      </c>
      <c r="Y56" s="2">
        <v>30</v>
      </c>
      <c r="Z56" s="2">
        <v>0.83360000000000001</v>
      </c>
      <c r="AA56" s="2">
        <f t="shared" si="6"/>
        <v>5.0999999999999934</v>
      </c>
      <c r="AC56" s="2">
        <v>30</v>
      </c>
      <c r="AD56" s="2">
        <v>1.1386000000000001</v>
      </c>
      <c r="AE56" s="2">
        <f t="shared" si="7"/>
        <v>5.2000000000000934</v>
      </c>
      <c r="AG56" s="2">
        <v>30</v>
      </c>
      <c r="AH56" s="2">
        <v>1.1403000000000001</v>
      </c>
      <c r="AI56" s="2">
        <f t="shared" si="8"/>
        <v>3.9000000000000146</v>
      </c>
      <c r="AJ56" s="2"/>
      <c r="AK56" s="2">
        <v>30</v>
      </c>
      <c r="AL56" s="2">
        <v>1.1403000000000001</v>
      </c>
      <c r="AM56" s="2">
        <f t="shared" si="9"/>
        <v>5.0000000000001155</v>
      </c>
      <c r="AO56" s="2"/>
      <c r="AP56" s="2"/>
      <c r="AQ56" s="2"/>
      <c r="AS56" s="2"/>
      <c r="AT56" s="2"/>
      <c r="AU56" s="2"/>
      <c r="AW56" s="2"/>
      <c r="AX56" s="2"/>
      <c r="AY56" s="2"/>
      <c r="BA56" s="2"/>
      <c r="BB56" s="2"/>
      <c r="BC56" s="2"/>
      <c r="BD56" s="2"/>
      <c r="BE56" s="2"/>
    </row>
    <row r="57" spans="1:57" x14ac:dyDescent="0.25">
      <c r="A57" s="2">
        <v>31</v>
      </c>
      <c r="B57" s="2">
        <v>1.5348999999999999</v>
      </c>
      <c r="C57" s="2">
        <f t="shared" si="0"/>
        <v>25.099999999999902</v>
      </c>
      <c r="E57" s="2"/>
      <c r="F57" s="2"/>
      <c r="G57" s="2"/>
      <c r="I57" s="2"/>
      <c r="J57" s="2"/>
      <c r="K57" s="2"/>
      <c r="Q57" s="2"/>
      <c r="R57" s="2"/>
      <c r="S57" s="2"/>
      <c r="T57" s="2"/>
      <c r="U57" s="2">
        <v>31</v>
      </c>
      <c r="V57" s="2">
        <v>0.83589999999999998</v>
      </c>
      <c r="W57" s="2">
        <f t="shared" si="5"/>
        <v>4.9000000000000155</v>
      </c>
      <c r="Y57" s="2">
        <v>31</v>
      </c>
      <c r="Z57" s="2">
        <v>0.83850000000000002</v>
      </c>
      <c r="AA57" s="2">
        <f t="shared" si="6"/>
        <v>4.9000000000000155</v>
      </c>
      <c r="AC57" s="2">
        <v>31</v>
      </c>
      <c r="AD57" s="2">
        <v>1.1435</v>
      </c>
      <c r="AE57" s="2">
        <f t="shared" si="7"/>
        <v>4.8999999999999044</v>
      </c>
      <c r="AG57" s="2">
        <v>31</v>
      </c>
      <c r="AH57" s="2">
        <v>1.1454</v>
      </c>
      <c r="AI57" s="2">
        <f t="shared" si="8"/>
        <v>5.0999999999998824</v>
      </c>
      <c r="AJ57" s="2"/>
      <c r="AK57" s="2">
        <v>31</v>
      </c>
      <c r="AL57" s="2">
        <v>1.1452</v>
      </c>
      <c r="AM57" s="2">
        <f t="shared" si="9"/>
        <v>4.8999999999999044</v>
      </c>
      <c r="AO57" s="2"/>
      <c r="AP57" s="2"/>
      <c r="AQ57" s="2"/>
      <c r="AS57" s="2"/>
      <c r="AT57" s="2"/>
      <c r="AU57" s="2"/>
      <c r="AW57" s="2"/>
      <c r="AX57" s="2"/>
      <c r="AY57" s="2"/>
      <c r="BA57" s="2"/>
      <c r="BB57" s="2"/>
      <c r="BC57" s="2"/>
      <c r="BD57" s="2"/>
      <c r="BE57" s="2"/>
    </row>
    <row r="58" spans="1:57" x14ac:dyDescent="0.25">
      <c r="A58" s="2">
        <v>32</v>
      </c>
      <c r="B58" s="2">
        <v>1.5606</v>
      </c>
      <c r="C58" s="2">
        <f t="shared" si="0"/>
        <v>25.700000000000056</v>
      </c>
      <c r="E58" s="2"/>
      <c r="F58" s="2"/>
      <c r="G58" s="2"/>
      <c r="I58" s="2"/>
      <c r="J58" s="2"/>
      <c r="K58" s="2"/>
      <c r="Q58" s="2"/>
      <c r="R58" s="2"/>
      <c r="S58" s="2"/>
      <c r="T58" s="2"/>
      <c r="U58" s="2">
        <v>32</v>
      </c>
      <c r="V58" s="2">
        <v>0.84089999999999998</v>
      </c>
      <c r="W58" s="2">
        <f t="shared" si="5"/>
        <v>5.0000000000000044</v>
      </c>
      <c r="Y58" s="2">
        <v>32</v>
      </c>
      <c r="Z58" s="2">
        <v>0.84350000000000003</v>
      </c>
      <c r="AA58" s="2">
        <f t="shared" si="6"/>
        <v>5.0000000000000044</v>
      </c>
      <c r="AC58" s="2">
        <v>32</v>
      </c>
      <c r="AD58" s="2">
        <v>1.1485000000000001</v>
      </c>
      <c r="AE58" s="2">
        <f t="shared" si="7"/>
        <v>5.0000000000001155</v>
      </c>
      <c r="AG58" s="2">
        <v>32</v>
      </c>
      <c r="AH58" s="2">
        <v>1.1504000000000001</v>
      </c>
      <c r="AI58" s="2">
        <f t="shared" si="8"/>
        <v>5.0000000000001155</v>
      </c>
      <c r="AJ58" s="2"/>
      <c r="AK58" s="2">
        <v>32</v>
      </c>
      <c r="AL58" s="2">
        <v>1.1501999999999999</v>
      </c>
      <c r="AM58" s="2">
        <f t="shared" si="9"/>
        <v>4.9999999999998934</v>
      </c>
      <c r="AO58" s="2"/>
      <c r="AP58" s="2"/>
      <c r="AQ58" s="2"/>
      <c r="AS58" s="2"/>
      <c r="AT58" s="2"/>
      <c r="AU58" s="2"/>
      <c r="AW58" s="2"/>
      <c r="AX58" s="2"/>
      <c r="AY58" s="2"/>
      <c r="BA58" s="2"/>
      <c r="BB58" s="2"/>
      <c r="BC58" s="2"/>
      <c r="BD58" s="2"/>
      <c r="BE58" s="2"/>
    </row>
    <row r="59" spans="1:57" x14ac:dyDescent="0.25">
      <c r="A59" s="2">
        <v>33</v>
      </c>
      <c r="B59" s="2">
        <v>1.5853999999999999</v>
      </c>
      <c r="C59" s="2">
        <f t="shared" si="0"/>
        <v>24.799999999999933</v>
      </c>
      <c r="E59" s="2"/>
      <c r="F59" s="2"/>
      <c r="G59" s="2"/>
      <c r="I59" s="2"/>
      <c r="J59" s="2"/>
      <c r="K59" s="2"/>
      <c r="Q59" s="2"/>
      <c r="R59" s="2"/>
      <c r="S59" s="2"/>
      <c r="T59" s="2"/>
      <c r="U59" s="2">
        <v>33</v>
      </c>
      <c r="V59" s="2">
        <v>0.8458</v>
      </c>
      <c r="W59" s="2">
        <f t="shared" si="5"/>
        <v>4.9000000000000155</v>
      </c>
      <c r="Y59" s="2">
        <v>33</v>
      </c>
      <c r="Z59" s="2">
        <v>0.84830000000000005</v>
      </c>
      <c r="AA59" s="2">
        <f t="shared" si="6"/>
        <v>4.8000000000000265</v>
      </c>
      <c r="AC59" s="2">
        <v>33</v>
      </c>
      <c r="AD59" s="2">
        <v>1.1535</v>
      </c>
      <c r="AE59" s="2">
        <f t="shared" si="7"/>
        <v>4.9999999999998934</v>
      </c>
      <c r="AG59" s="2">
        <v>33</v>
      </c>
      <c r="AH59" s="2">
        <v>1.1554</v>
      </c>
      <c r="AI59" s="2">
        <f t="shared" si="8"/>
        <v>4.9999999999998934</v>
      </c>
      <c r="AJ59" s="2"/>
      <c r="AK59" s="2">
        <v>33</v>
      </c>
      <c r="AL59" s="2">
        <v>1.1551</v>
      </c>
      <c r="AM59" s="2">
        <f t="shared" si="9"/>
        <v>4.9000000000001265</v>
      </c>
      <c r="AO59" s="2"/>
      <c r="AP59" s="2"/>
      <c r="AQ59" s="2"/>
      <c r="AS59" s="2"/>
      <c r="AT59" s="2"/>
      <c r="AU59" s="2"/>
      <c r="AW59" s="2"/>
      <c r="AX59" s="2"/>
      <c r="AY59" s="2"/>
      <c r="BA59" s="2"/>
      <c r="BB59" s="2"/>
      <c r="BC59" s="2"/>
      <c r="BD59" s="2"/>
      <c r="BE59" s="2"/>
    </row>
    <row r="60" spans="1:57" x14ac:dyDescent="0.25">
      <c r="A60" s="2">
        <v>34</v>
      </c>
      <c r="B60" s="2">
        <v>1.6116999999999999</v>
      </c>
      <c r="C60" s="2">
        <f t="shared" si="0"/>
        <v>26.29999999999999</v>
      </c>
      <c r="E60" s="2"/>
      <c r="F60" s="2"/>
      <c r="G60" s="2"/>
      <c r="I60" s="2"/>
      <c r="J60" s="2"/>
      <c r="K60" s="2"/>
      <c r="Q60" s="2"/>
      <c r="R60" s="2"/>
      <c r="S60" s="2"/>
      <c r="T60" s="2"/>
      <c r="U60" s="2">
        <v>34</v>
      </c>
      <c r="V60" s="2">
        <v>0.85060000000000002</v>
      </c>
      <c r="W60" s="2">
        <f t="shared" si="5"/>
        <v>4.8000000000000265</v>
      </c>
      <c r="Y60" s="2">
        <v>34</v>
      </c>
      <c r="Z60" s="2">
        <v>0.85299999999999998</v>
      </c>
      <c r="AA60" s="2">
        <f t="shared" si="6"/>
        <v>4.6999999999999265</v>
      </c>
      <c r="AC60" s="2">
        <v>34</v>
      </c>
      <c r="AD60" s="2">
        <v>1.1589</v>
      </c>
      <c r="AE60" s="2">
        <f t="shared" si="7"/>
        <v>5.4000000000000714</v>
      </c>
      <c r="AG60" s="2">
        <v>34</v>
      </c>
      <c r="AH60" s="2">
        <v>1.1607000000000001</v>
      </c>
      <c r="AI60" s="2">
        <f t="shared" si="8"/>
        <v>5.3000000000000824</v>
      </c>
      <c r="AJ60" s="2"/>
      <c r="AK60" s="2">
        <v>34</v>
      </c>
      <c r="AL60" s="2">
        <v>1.1601999999999999</v>
      </c>
      <c r="AM60" s="2">
        <f t="shared" si="9"/>
        <v>5.0999999999998824</v>
      </c>
      <c r="AO60" s="2"/>
      <c r="AP60" s="2"/>
      <c r="AQ60" s="2"/>
      <c r="AS60" s="2"/>
      <c r="AT60" s="2"/>
      <c r="AU60" s="2"/>
      <c r="AW60" s="2"/>
      <c r="AX60" s="2"/>
      <c r="AY60" s="2"/>
      <c r="BA60" s="2"/>
      <c r="BB60" s="2"/>
      <c r="BC60" s="2"/>
      <c r="BD60" s="2"/>
      <c r="BE60" s="2"/>
    </row>
    <row r="61" spans="1:57" x14ac:dyDescent="0.25">
      <c r="A61" s="2">
        <v>35</v>
      </c>
      <c r="B61" s="2">
        <v>1.6359999999999999</v>
      </c>
      <c r="C61" s="2">
        <f t="shared" si="0"/>
        <v>24.29999999999999</v>
      </c>
      <c r="E61" s="2"/>
      <c r="F61" s="2"/>
      <c r="G61" s="2"/>
      <c r="I61" s="2"/>
      <c r="J61" s="2"/>
      <c r="K61" s="2"/>
      <c r="Q61" s="2"/>
      <c r="R61" s="2"/>
      <c r="S61" s="2"/>
      <c r="T61" s="2"/>
      <c r="U61" s="2">
        <v>35</v>
      </c>
      <c r="V61" s="2">
        <v>0.85540000000000005</v>
      </c>
      <c r="W61" s="2">
        <f t="shared" si="5"/>
        <v>4.8000000000000265</v>
      </c>
      <c r="Y61" s="2">
        <v>35</v>
      </c>
      <c r="Z61" s="2">
        <v>0.85780000000000001</v>
      </c>
      <c r="AA61" s="2">
        <f t="shared" si="6"/>
        <v>4.8000000000000265</v>
      </c>
      <c r="AC61" s="2">
        <v>35</v>
      </c>
      <c r="AD61" s="2">
        <v>1.1637999999999999</v>
      </c>
      <c r="AE61" s="2">
        <f t="shared" si="7"/>
        <v>4.8999999999999044</v>
      </c>
      <c r="AG61" s="2">
        <v>35</v>
      </c>
      <c r="AH61" s="2">
        <v>1.1657999999999999</v>
      </c>
      <c r="AI61" s="2">
        <f t="shared" si="8"/>
        <v>5.0999999999998824</v>
      </c>
      <c r="AJ61" s="2"/>
      <c r="AK61" s="2">
        <v>35</v>
      </c>
      <c r="AL61" s="2">
        <v>1.1651</v>
      </c>
      <c r="AM61" s="2">
        <f t="shared" si="9"/>
        <v>4.9000000000001265</v>
      </c>
      <c r="AO61" s="2"/>
      <c r="AP61" s="2"/>
      <c r="AQ61" s="2"/>
      <c r="AS61" s="2"/>
      <c r="AT61" s="2"/>
      <c r="AU61" s="2"/>
      <c r="AW61" s="2"/>
      <c r="AX61" s="2"/>
      <c r="AY61" s="2"/>
      <c r="BA61" s="2"/>
      <c r="BB61" s="2"/>
      <c r="BC61" s="2"/>
      <c r="BD61" s="2"/>
      <c r="BE61" s="2"/>
    </row>
    <row r="62" spans="1:57" x14ac:dyDescent="0.25">
      <c r="A62" s="2">
        <v>36</v>
      </c>
      <c r="B62" s="2">
        <v>1.6614</v>
      </c>
      <c r="C62" s="2">
        <f t="shared" si="0"/>
        <v>25.400000000000091</v>
      </c>
      <c r="E62" s="2"/>
      <c r="F62" s="2"/>
      <c r="G62" s="2"/>
      <c r="I62" s="2"/>
      <c r="J62" s="2"/>
      <c r="K62" s="2"/>
      <c r="Q62" s="2"/>
      <c r="R62" s="2"/>
      <c r="S62" s="2"/>
      <c r="T62" s="2"/>
      <c r="U62" s="2">
        <v>36</v>
      </c>
      <c r="V62" s="2">
        <v>0.86050000000000004</v>
      </c>
      <c r="W62" s="2">
        <f t="shared" si="5"/>
        <v>5.0999999999999934</v>
      </c>
      <c r="Y62" s="2">
        <v>36</v>
      </c>
      <c r="Z62" s="2">
        <v>0.86280000000000001</v>
      </c>
      <c r="AA62" s="2">
        <f t="shared" si="6"/>
        <v>5.0000000000000044</v>
      </c>
      <c r="AC62" s="2">
        <v>36</v>
      </c>
      <c r="AD62" s="2">
        <v>1.1688000000000001</v>
      </c>
      <c r="AE62" s="2">
        <f t="shared" si="7"/>
        <v>5.0000000000001155</v>
      </c>
      <c r="AG62" s="2">
        <v>36</v>
      </c>
      <c r="AH62" s="2">
        <v>1.1709000000000001</v>
      </c>
      <c r="AI62" s="2">
        <f t="shared" si="8"/>
        <v>5.1000000000001044</v>
      </c>
      <c r="AJ62" s="2"/>
      <c r="AK62" s="2">
        <v>36</v>
      </c>
      <c r="AL62" s="2">
        <v>1.1701999999999999</v>
      </c>
      <c r="AM62" s="2">
        <f t="shared" si="9"/>
        <v>5.0999999999998824</v>
      </c>
      <c r="AO62" s="2"/>
      <c r="AP62" s="2"/>
      <c r="AQ62" s="2"/>
      <c r="AS62" s="2"/>
      <c r="AT62" s="2"/>
      <c r="AU62" s="2"/>
      <c r="AW62" s="2"/>
      <c r="AX62" s="2"/>
      <c r="AY62" s="2"/>
      <c r="BA62" s="2"/>
      <c r="BB62" s="2"/>
      <c r="BC62" s="2"/>
      <c r="BD62" s="2"/>
      <c r="BE62" s="2"/>
    </row>
    <row r="63" spans="1:57" x14ac:dyDescent="0.25">
      <c r="A63" s="2">
        <v>37</v>
      </c>
      <c r="B63" s="2">
        <v>1.6858</v>
      </c>
      <c r="C63" s="2">
        <f t="shared" si="0"/>
        <v>24.399999999999977</v>
      </c>
      <c r="E63" s="2"/>
      <c r="F63" s="2"/>
      <c r="G63" s="2"/>
      <c r="I63" s="2"/>
      <c r="J63" s="2"/>
      <c r="K63" s="2"/>
      <c r="Q63" s="2"/>
      <c r="R63" s="2"/>
      <c r="S63" s="2"/>
      <c r="T63" s="2"/>
      <c r="U63" s="2">
        <v>37</v>
      </c>
      <c r="V63" s="2">
        <v>0.86539999999999995</v>
      </c>
      <c r="W63" s="2">
        <f t="shared" si="5"/>
        <v>4.8999999999999044</v>
      </c>
      <c r="Y63" s="2">
        <v>37</v>
      </c>
      <c r="Z63" s="2">
        <v>0.86770000000000003</v>
      </c>
      <c r="AA63" s="2">
        <f t="shared" si="6"/>
        <v>4.9000000000000155</v>
      </c>
      <c r="AC63" s="2">
        <v>37</v>
      </c>
      <c r="AD63" s="2">
        <v>1.1738</v>
      </c>
      <c r="AE63" s="2">
        <f t="shared" si="7"/>
        <v>4.9999999999998934</v>
      </c>
      <c r="AG63" s="2">
        <v>37</v>
      </c>
      <c r="AH63" s="2">
        <v>1.1759999999999999</v>
      </c>
      <c r="AI63" s="2">
        <f t="shared" si="8"/>
        <v>5.0999999999998824</v>
      </c>
      <c r="AJ63" s="2"/>
      <c r="AK63" s="2">
        <v>37</v>
      </c>
      <c r="AL63" s="2">
        <v>1.1751</v>
      </c>
      <c r="AM63" s="2">
        <f t="shared" si="9"/>
        <v>4.9000000000001265</v>
      </c>
      <c r="AO63" s="2"/>
      <c r="AP63" s="2"/>
      <c r="AQ63" s="2"/>
      <c r="AS63" s="2"/>
      <c r="AT63" s="2"/>
      <c r="AU63" s="2"/>
      <c r="AW63" s="2"/>
      <c r="AX63" s="2"/>
      <c r="AY63" s="2"/>
      <c r="BA63" s="2"/>
      <c r="BB63" s="2"/>
      <c r="BC63" s="2"/>
      <c r="BD63" s="2"/>
      <c r="BE63" s="2"/>
    </row>
    <row r="64" spans="1:57" x14ac:dyDescent="0.25">
      <c r="A64" s="2">
        <v>38</v>
      </c>
      <c r="B64" s="2">
        <v>1.7117</v>
      </c>
      <c r="C64" s="2">
        <f t="shared" si="0"/>
        <v>25.900000000000034</v>
      </c>
      <c r="E64" s="2"/>
      <c r="F64" s="2"/>
      <c r="G64" s="2"/>
      <c r="I64" s="2"/>
      <c r="J64" s="2"/>
      <c r="K64" s="2"/>
      <c r="Q64" s="2"/>
      <c r="R64" s="2"/>
      <c r="S64" s="2"/>
      <c r="T64" s="2"/>
      <c r="U64" s="2">
        <v>38</v>
      </c>
      <c r="V64" s="2">
        <v>0.87009999999999998</v>
      </c>
      <c r="W64" s="2">
        <f t="shared" si="5"/>
        <v>4.7000000000000375</v>
      </c>
      <c r="Y64" s="2">
        <v>38</v>
      </c>
      <c r="Z64" s="2">
        <v>0.87260000000000004</v>
      </c>
      <c r="AA64" s="2">
        <f t="shared" si="6"/>
        <v>4.9000000000000155</v>
      </c>
      <c r="AC64" s="2">
        <v>38</v>
      </c>
      <c r="AD64" s="2">
        <v>1.1786000000000001</v>
      </c>
      <c r="AE64" s="2">
        <f t="shared" si="7"/>
        <v>4.8000000000001375</v>
      </c>
      <c r="AG64" s="2">
        <v>38</v>
      </c>
      <c r="AH64" s="2">
        <v>1.1809000000000001</v>
      </c>
      <c r="AI64" s="2">
        <f t="shared" si="8"/>
        <v>4.9000000000001265</v>
      </c>
      <c r="AJ64" s="2"/>
      <c r="AK64" s="2">
        <v>38</v>
      </c>
      <c r="AL64" s="2">
        <v>1.1800999999999999</v>
      </c>
      <c r="AM64" s="2">
        <f t="shared" si="9"/>
        <v>4.9999999999998934</v>
      </c>
      <c r="AO64" s="2"/>
      <c r="AP64" s="2"/>
      <c r="AQ64" s="2"/>
      <c r="AS64" s="2"/>
      <c r="AT64" s="2"/>
      <c r="AU64" s="2"/>
      <c r="AW64" s="2"/>
      <c r="AX64" s="2"/>
      <c r="AY64" s="2"/>
      <c r="BA64" s="2"/>
      <c r="BB64" s="2"/>
      <c r="BC64" s="2"/>
      <c r="BD64" s="2"/>
      <c r="BE64" s="2"/>
    </row>
    <row r="65" spans="1:57" x14ac:dyDescent="0.25">
      <c r="A65" s="2">
        <v>39</v>
      </c>
      <c r="B65" s="2">
        <v>1.7357</v>
      </c>
      <c r="C65" s="2">
        <f t="shared" si="0"/>
        <v>24.000000000000021</v>
      </c>
      <c r="E65" s="2"/>
      <c r="F65" s="2"/>
      <c r="G65" s="2"/>
      <c r="I65" s="2"/>
      <c r="J65" s="2"/>
      <c r="K65" s="2"/>
      <c r="Q65" s="2"/>
      <c r="R65" s="2"/>
      <c r="S65" s="2"/>
      <c r="T65" s="2"/>
      <c r="U65" s="2">
        <v>39</v>
      </c>
      <c r="V65" s="2">
        <v>0.87509999999999999</v>
      </c>
      <c r="W65" s="2">
        <f t="shared" si="5"/>
        <v>5.0000000000000044</v>
      </c>
      <c r="Y65" s="2">
        <v>39</v>
      </c>
      <c r="Z65" s="2">
        <v>0.87739999999999996</v>
      </c>
      <c r="AA65" s="2">
        <f t="shared" si="6"/>
        <v>4.7999999999999154</v>
      </c>
      <c r="AC65" s="2">
        <v>39</v>
      </c>
      <c r="AD65" s="2">
        <v>1.1836</v>
      </c>
      <c r="AE65" s="2">
        <f t="shared" si="7"/>
        <v>4.9999999999998934</v>
      </c>
      <c r="AG65" s="2">
        <v>39</v>
      </c>
      <c r="AH65" s="2">
        <v>1.1860999999999999</v>
      </c>
      <c r="AI65" s="2">
        <f t="shared" si="8"/>
        <v>5.1999999999998714</v>
      </c>
      <c r="AJ65" s="2"/>
      <c r="AK65" s="2">
        <v>39</v>
      </c>
      <c r="AL65" s="2">
        <v>1.1851</v>
      </c>
      <c r="AM65" s="2">
        <f t="shared" si="9"/>
        <v>5.0000000000001155</v>
      </c>
      <c r="AO65" s="2"/>
      <c r="AP65" s="2"/>
      <c r="AQ65" s="2"/>
      <c r="AS65" s="2"/>
      <c r="AT65" s="2"/>
      <c r="AU65" s="2"/>
      <c r="AW65" s="2"/>
      <c r="AX65" s="2"/>
      <c r="AY65" s="2"/>
      <c r="BA65" s="2"/>
      <c r="BB65" s="2"/>
      <c r="BC65" s="2"/>
      <c r="BD65" s="2"/>
      <c r="BE65" s="2"/>
    </row>
    <row r="66" spans="1:57" x14ac:dyDescent="0.25">
      <c r="A66" s="2" t="s">
        <v>55</v>
      </c>
      <c r="B66" s="2">
        <v>1.7617</v>
      </c>
      <c r="C66" s="2">
        <f t="shared" si="0"/>
        <v>26.000000000000021</v>
      </c>
      <c r="E66" s="2"/>
      <c r="F66" s="2"/>
      <c r="G66" s="2"/>
      <c r="I66" s="2"/>
      <c r="J66" s="2"/>
      <c r="K66" s="2"/>
      <c r="Q66" s="2"/>
      <c r="R66" s="2"/>
      <c r="S66" s="2"/>
      <c r="T66" s="2"/>
      <c r="U66" s="2" t="s">
        <v>56</v>
      </c>
      <c r="V66" s="2">
        <v>0.88009999999999999</v>
      </c>
      <c r="W66" s="2">
        <f t="shared" si="5"/>
        <v>5.0000000000000044</v>
      </c>
      <c r="Y66" s="2" t="s">
        <v>56</v>
      </c>
      <c r="Z66" s="2">
        <v>0.88239999999999996</v>
      </c>
      <c r="AA66" s="2">
        <f t="shared" si="6"/>
        <v>5.0000000000000044</v>
      </c>
      <c r="AC66" s="2" t="s">
        <v>56</v>
      </c>
      <c r="AD66" s="2">
        <v>1.1886000000000001</v>
      </c>
      <c r="AE66" s="2">
        <f t="shared" si="7"/>
        <v>5.0000000000001155</v>
      </c>
      <c r="AG66" s="2" t="s">
        <v>56</v>
      </c>
      <c r="AH66" s="2">
        <v>1.1911</v>
      </c>
      <c r="AI66" s="2">
        <f t="shared" si="8"/>
        <v>5.0000000000001155</v>
      </c>
      <c r="AJ66" s="2"/>
      <c r="AK66" s="2" t="s">
        <v>56</v>
      </c>
      <c r="AL66" s="2">
        <v>1.1900999999999999</v>
      </c>
      <c r="AM66" s="2">
        <f t="shared" si="9"/>
        <v>4.9999999999998934</v>
      </c>
      <c r="AO66" s="2"/>
      <c r="AP66" s="2"/>
      <c r="AQ66" s="2"/>
      <c r="AS66" s="2"/>
      <c r="AT66" s="2"/>
      <c r="AU66" s="2"/>
      <c r="AW66" s="2"/>
      <c r="AX66" s="2"/>
      <c r="AY66" s="2"/>
      <c r="BA66" s="2"/>
      <c r="BB66" s="2"/>
      <c r="BC66" s="2"/>
      <c r="BD66" s="2"/>
      <c r="BE66" s="2"/>
    </row>
    <row r="67" spans="1:57" x14ac:dyDescent="0.25">
      <c r="A67" s="2" t="s">
        <v>57</v>
      </c>
      <c r="B67" s="2">
        <v>1.7858000000000001</v>
      </c>
      <c r="C67" s="2">
        <f t="shared" si="0"/>
        <v>24.100000000000009</v>
      </c>
      <c r="E67" s="2"/>
      <c r="F67" s="2"/>
      <c r="G67" s="2"/>
      <c r="I67" s="2"/>
      <c r="J67" s="2"/>
      <c r="K67" s="2"/>
      <c r="Q67" s="2"/>
      <c r="R67" s="2"/>
      <c r="S67" s="2"/>
      <c r="T67" s="2"/>
      <c r="U67" s="2" t="s">
        <v>58</v>
      </c>
      <c r="V67" s="2">
        <v>0.8851</v>
      </c>
      <c r="W67" s="2">
        <f t="shared" si="5"/>
        <v>5.0000000000000044</v>
      </c>
      <c r="Y67" s="2" t="s">
        <v>58</v>
      </c>
      <c r="Z67" s="2">
        <v>0.88729999999999998</v>
      </c>
      <c r="AA67" s="2">
        <f t="shared" si="6"/>
        <v>4.9000000000000155</v>
      </c>
      <c r="AC67" s="2" t="s">
        <v>58</v>
      </c>
      <c r="AD67" s="2">
        <v>1.1935</v>
      </c>
      <c r="AE67" s="2">
        <f t="shared" si="7"/>
        <v>4.8999999999999044</v>
      </c>
      <c r="AG67" s="2" t="s">
        <v>58</v>
      </c>
      <c r="AH67" s="2">
        <v>1.1960999999999999</v>
      </c>
      <c r="AI67" s="2">
        <f t="shared" si="8"/>
        <v>4.9999999999998934</v>
      </c>
      <c r="AJ67" s="2"/>
      <c r="AK67" s="2" t="s">
        <v>58</v>
      </c>
      <c r="AL67" s="2">
        <v>1.1950000000000001</v>
      </c>
      <c r="AM67" s="2">
        <f t="shared" si="9"/>
        <v>4.9000000000001265</v>
      </c>
      <c r="AO67" s="2"/>
      <c r="AP67" s="2"/>
      <c r="AQ67" s="2"/>
      <c r="AS67" s="2"/>
      <c r="AT67" s="2"/>
      <c r="AU67" s="2"/>
      <c r="AW67" s="2"/>
      <c r="AX67" s="2"/>
      <c r="AY67" s="2"/>
      <c r="BA67" s="2"/>
      <c r="BB67" s="2"/>
      <c r="BC67" s="2"/>
      <c r="BD67" s="2"/>
      <c r="BE67" s="2"/>
    </row>
    <row r="68" spans="1:57" x14ac:dyDescent="0.25">
      <c r="A68" s="2" t="s">
        <v>59</v>
      </c>
      <c r="B68" s="2">
        <v>1.8127</v>
      </c>
      <c r="C68" s="2">
        <f t="shared" si="0"/>
        <v>26.899999999999924</v>
      </c>
      <c r="E68" s="2"/>
      <c r="F68" s="2"/>
      <c r="G68" s="2"/>
      <c r="I68" s="2"/>
      <c r="J68" s="2"/>
      <c r="K68" s="2"/>
      <c r="Q68" s="2"/>
      <c r="R68" s="2"/>
      <c r="S68" s="2"/>
      <c r="T68" s="2"/>
      <c r="U68" s="2" t="s">
        <v>60</v>
      </c>
      <c r="V68" s="2">
        <v>0.88980000000000004</v>
      </c>
      <c r="W68" s="2">
        <f t="shared" si="5"/>
        <v>4.7000000000000375</v>
      </c>
      <c r="Y68" s="2" t="s">
        <v>60</v>
      </c>
      <c r="Z68" s="2">
        <v>0.8921</v>
      </c>
      <c r="AA68" s="2">
        <f t="shared" si="6"/>
        <v>4.8000000000000265</v>
      </c>
      <c r="AC68" s="2" t="s">
        <v>60</v>
      </c>
      <c r="AD68" s="2">
        <v>1.1989000000000001</v>
      </c>
      <c r="AE68" s="2">
        <f t="shared" si="7"/>
        <v>5.4000000000000714</v>
      </c>
      <c r="AG68" s="2" t="s">
        <v>60</v>
      </c>
      <c r="AH68" s="2">
        <v>1.2014</v>
      </c>
      <c r="AI68" s="2">
        <f t="shared" si="8"/>
        <v>5.3000000000000824</v>
      </c>
      <c r="AJ68" s="2"/>
      <c r="AK68" s="2" t="s">
        <v>60</v>
      </c>
      <c r="AL68" s="2">
        <v>1.2000999999999999</v>
      </c>
      <c r="AM68" s="2">
        <f t="shared" si="9"/>
        <v>5.0999999999998824</v>
      </c>
      <c r="AO68" s="2"/>
      <c r="AP68" s="2"/>
      <c r="AQ68" s="2"/>
      <c r="AS68" s="2"/>
      <c r="AT68" s="2"/>
      <c r="AU68" s="2"/>
      <c r="AW68" s="2"/>
      <c r="AX68" s="2"/>
      <c r="AY68" s="2"/>
      <c r="BA68" s="2"/>
      <c r="BB68" s="2"/>
      <c r="BC68" s="2"/>
      <c r="BD68" s="2"/>
      <c r="BE68" s="2"/>
    </row>
    <row r="69" spans="1:57" x14ac:dyDescent="0.25">
      <c r="A69" s="2" t="s">
        <v>61</v>
      </c>
      <c r="B69" s="2">
        <v>1.8366</v>
      </c>
      <c r="C69" s="2">
        <f t="shared" si="0"/>
        <v>23.900000000000034</v>
      </c>
      <c r="E69" s="2"/>
      <c r="F69" s="2"/>
      <c r="G69" s="2"/>
      <c r="I69" s="2"/>
      <c r="J69" s="2"/>
      <c r="K69" s="2"/>
      <c r="Q69" s="2"/>
      <c r="R69" s="2"/>
      <c r="S69" s="2"/>
      <c r="T69" s="2"/>
      <c r="U69" s="2" t="s">
        <v>62</v>
      </c>
      <c r="V69" s="2">
        <v>0.89470000000000005</v>
      </c>
      <c r="W69" s="2">
        <f t="shared" si="5"/>
        <v>4.9000000000000155</v>
      </c>
      <c r="Y69" s="2" t="s">
        <v>62</v>
      </c>
      <c r="Z69" s="2">
        <v>0.89690000000000003</v>
      </c>
      <c r="AA69" s="2">
        <f t="shared" si="6"/>
        <v>4.8000000000000265</v>
      </c>
      <c r="AC69" s="2" t="s">
        <v>62</v>
      </c>
      <c r="AD69" s="2">
        <v>1.2038</v>
      </c>
      <c r="AE69" s="2">
        <f t="shared" si="7"/>
        <v>4.8999999999999044</v>
      </c>
      <c r="AG69" s="2" t="s">
        <v>62</v>
      </c>
      <c r="AH69" s="2">
        <v>1.2064999999999999</v>
      </c>
      <c r="AI69" s="2">
        <f t="shared" si="8"/>
        <v>5.0999999999998824</v>
      </c>
      <c r="AJ69" s="2"/>
      <c r="AK69" s="2" t="s">
        <v>62</v>
      </c>
      <c r="AL69" s="2">
        <v>1.2050000000000001</v>
      </c>
      <c r="AM69" s="2">
        <f t="shared" si="9"/>
        <v>4.9000000000001265</v>
      </c>
      <c r="AO69" s="2"/>
      <c r="AP69" s="2"/>
      <c r="AQ69" s="2"/>
      <c r="AS69" s="2"/>
      <c r="AT69" s="2"/>
      <c r="AU69" s="2"/>
      <c r="AW69" s="2"/>
      <c r="AX69" s="2"/>
      <c r="AY69" s="2"/>
      <c r="BA69" s="2"/>
      <c r="BB69" s="2"/>
      <c r="BC69" s="2"/>
      <c r="BD69" s="2"/>
      <c r="BE69" s="2"/>
    </row>
    <row r="70" spans="1:57" x14ac:dyDescent="0.25">
      <c r="A70" s="2" t="s">
        <v>63</v>
      </c>
      <c r="B70" s="2">
        <v>1.8632</v>
      </c>
      <c r="C70" s="2">
        <f t="shared" si="0"/>
        <v>26.599999999999959</v>
      </c>
      <c r="E70" s="2"/>
      <c r="F70" s="2"/>
      <c r="G70" s="2"/>
      <c r="I70" s="2"/>
      <c r="J70" s="2"/>
      <c r="K70" s="2"/>
      <c r="Q70" s="2"/>
      <c r="R70" s="2"/>
      <c r="S70" s="2"/>
      <c r="T70" s="2"/>
      <c r="U70" s="2" t="s">
        <v>64</v>
      </c>
      <c r="V70" s="2">
        <v>0.89980000000000004</v>
      </c>
      <c r="W70" s="2">
        <f t="shared" si="5"/>
        <v>5.0999999999999934</v>
      </c>
      <c r="Y70" s="2" t="s">
        <v>64</v>
      </c>
      <c r="Z70" s="2">
        <v>0.90190000000000003</v>
      </c>
      <c r="AA70" s="2">
        <f t="shared" si="6"/>
        <v>5.0000000000000044</v>
      </c>
      <c r="AC70" s="2" t="s">
        <v>64</v>
      </c>
      <c r="AD70" s="2">
        <v>1.2088000000000001</v>
      </c>
      <c r="AE70" s="2">
        <f t="shared" si="7"/>
        <v>5.0000000000001155</v>
      </c>
      <c r="AG70" s="2" t="s">
        <v>64</v>
      </c>
      <c r="AH70" s="2">
        <v>1.2115</v>
      </c>
      <c r="AI70" s="2">
        <f t="shared" si="8"/>
        <v>5.0000000000001155</v>
      </c>
      <c r="AJ70" s="2"/>
      <c r="AK70" s="2" t="s">
        <v>64</v>
      </c>
      <c r="AL70" s="2">
        <v>1.21</v>
      </c>
      <c r="AM70" s="2">
        <f t="shared" si="9"/>
        <v>4.9999999999998934</v>
      </c>
      <c r="AO70" s="2"/>
      <c r="AP70" s="2"/>
      <c r="AQ70" s="2"/>
      <c r="AS70" s="2"/>
      <c r="AT70" s="2"/>
      <c r="AU70" s="2"/>
      <c r="AW70" s="2"/>
      <c r="AX70" s="2"/>
      <c r="AY70" s="2"/>
      <c r="BA70" s="2"/>
      <c r="BB70" s="2"/>
      <c r="BC70" s="2"/>
      <c r="BD70" s="2"/>
      <c r="BE70" s="2"/>
    </row>
    <row r="71" spans="1:57" x14ac:dyDescent="0.25">
      <c r="A71" s="2" t="s">
        <v>65</v>
      </c>
      <c r="B71" s="2">
        <v>1.8864000000000001</v>
      </c>
      <c r="C71" s="2">
        <f t="shared" si="0"/>
        <v>23.200000000000109</v>
      </c>
      <c r="E71" s="2"/>
      <c r="F71" s="2"/>
      <c r="G71" s="2"/>
      <c r="I71" s="2"/>
      <c r="J71" s="2"/>
      <c r="K71" s="2"/>
      <c r="Q71" s="2"/>
      <c r="R71" s="2"/>
      <c r="S71" s="2"/>
      <c r="T71" s="2"/>
      <c r="U71" s="2" t="s">
        <v>66</v>
      </c>
      <c r="V71" s="2">
        <v>0.90469999999999995</v>
      </c>
      <c r="W71" s="2">
        <f t="shared" si="5"/>
        <v>4.8999999999999044</v>
      </c>
      <c r="Y71" s="2" t="s">
        <v>66</v>
      </c>
      <c r="Z71" s="2">
        <v>0.90669999999999995</v>
      </c>
      <c r="AA71" s="2">
        <f t="shared" si="6"/>
        <v>4.7999999999999154</v>
      </c>
      <c r="AC71" s="2" t="s">
        <v>66</v>
      </c>
      <c r="AD71" s="2">
        <v>1.2137</v>
      </c>
      <c r="AE71" s="2">
        <f t="shared" si="7"/>
        <v>4.8999999999999044</v>
      </c>
      <c r="AG71" s="2" t="s">
        <v>66</v>
      </c>
      <c r="AH71" s="2">
        <v>1.2165999999999999</v>
      </c>
      <c r="AI71" s="2">
        <f t="shared" si="8"/>
        <v>5.0999999999998824</v>
      </c>
      <c r="AJ71" s="3"/>
      <c r="AK71" s="2" t="s">
        <v>66</v>
      </c>
      <c r="AL71" s="2">
        <v>1.2149000000000001</v>
      </c>
      <c r="AM71" s="2">
        <f t="shared" si="9"/>
        <v>4.9000000000001265</v>
      </c>
      <c r="AO71" s="3"/>
      <c r="AP71" s="3"/>
      <c r="AQ71" s="3"/>
      <c r="AS71" s="3"/>
      <c r="AT71" s="3"/>
      <c r="AU71" s="3"/>
      <c r="AW71" s="3"/>
      <c r="AX71" s="3"/>
      <c r="AY71" s="3"/>
      <c r="BA71" s="3"/>
      <c r="BB71" s="3"/>
      <c r="BC71" s="3"/>
      <c r="BD71" s="3"/>
      <c r="BE71" s="3"/>
    </row>
    <row r="72" spans="1:57" x14ac:dyDescent="0.25">
      <c r="A72" s="3"/>
      <c r="B72" s="3"/>
      <c r="C72" s="3">
        <f>AVERAGE(C9:C71)</f>
        <v>25.133333333333336</v>
      </c>
      <c r="E72" s="3"/>
      <c r="F72" s="3"/>
      <c r="G72" s="3"/>
      <c r="I72" s="3"/>
      <c r="J72" s="3"/>
      <c r="K72" s="3"/>
      <c r="M72" s="3"/>
      <c r="N72" s="3"/>
      <c r="O72" s="3"/>
      <c r="Q72" s="3"/>
      <c r="R72" s="3"/>
      <c r="S72" s="3"/>
      <c r="T72" s="3"/>
      <c r="U72" s="2">
        <v>40</v>
      </c>
      <c r="V72" s="2">
        <v>0.91010000000000002</v>
      </c>
      <c r="W72" s="2">
        <f t="shared" si="5"/>
        <v>5.4000000000000714</v>
      </c>
      <c r="Y72" s="2">
        <v>40</v>
      </c>
      <c r="Z72" s="2">
        <v>0.9123</v>
      </c>
      <c r="AA72" s="2">
        <f t="shared" si="6"/>
        <v>5.6000000000000494</v>
      </c>
      <c r="AC72" s="2">
        <v>40</v>
      </c>
      <c r="AD72" s="2">
        <v>1.2178</v>
      </c>
      <c r="AE72" s="2">
        <f t="shared" si="7"/>
        <v>4.0999999999999925</v>
      </c>
      <c r="AG72" s="2">
        <v>40</v>
      </c>
      <c r="AH72" s="2">
        <v>1.2223999999999999</v>
      </c>
      <c r="AI72" s="2">
        <f t="shared" si="8"/>
        <v>5.8000000000000274</v>
      </c>
      <c r="AJ72" s="3"/>
      <c r="AK72" s="2">
        <v>40</v>
      </c>
      <c r="AL72" s="2">
        <v>1.2198</v>
      </c>
      <c r="AM72" s="2">
        <f t="shared" si="9"/>
        <v>4.8999999999999044</v>
      </c>
      <c r="AO72" s="3"/>
      <c r="AP72" s="3"/>
      <c r="AQ72" s="3"/>
      <c r="AS72" s="3"/>
      <c r="AT72" s="3"/>
      <c r="AU72" s="3"/>
      <c r="AW72" s="3"/>
      <c r="AX72" s="3"/>
      <c r="AY72" s="3"/>
      <c r="BA72" s="3"/>
      <c r="BB72" s="3"/>
      <c r="BC72" s="3"/>
      <c r="BD72" s="3"/>
      <c r="BE72" s="3"/>
    </row>
    <row r="73" spans="1:57" x14ac:dyDescent="0.25">
      <c r="A73" s="3"/>
      <c r="B73" s="3"/>
      <c r="C73" s="3"/>
      <c r="E73" s="3"/>
      <c r="F73" s="3"/>
      <c r="G73" s="3"/>
      <c r="I73" s="3"/>
      <c r="J73" s="3"/>
      <c r="K73" s="3"/>
      <c r="M73" s="3"/>
      <c r="N73" s="3"/>
      <c r="O73" s="3"/>
      <c r="Q73" s="3"/>
      <c r="R73" s="3"/>
      <c r="S73" s="3"/>
      <c r="T73" s="3"/>
      <c r="U73" s="2">
        <v>41</v>
      </c>
      <c r="V73" s="2">
        <v>0.91490000000000005</v>
      </c>
      <c r="W73" s="2">
        <f t="shared" si="5"/>
        <v>4.8000000000000265</v>
      </c>
      <c r="Y73" s="2">
        <v>41</v>
      </c>
      <c r="Z73" s="2">
        <v>0.91710000000000003</v>
      </c>
      <c r="AA73" s="2">
        <f t="shared" si="6"/>
        <v>4.8000000000000265</v>
      </c>
      <c r="AC73" s="2">
        <v>41</v>
      </c>
      <c r="AD73" s="2">
        <v>1.2226999999999999</v>
      </c>
      <c r="AE73" s="2">
        <f t="shared" si="7"/>
        <v>4.8999999999999044</v>
      </c>
      <c r="AG73" s="2">
        <v>41</v>
      </c>
      <c r="AH73" s="2">
        <v>1.2274</v>
      </c>
      <c r="AI73" s="2">
        <f t="shared" si="8"/>
        <v>5.0000000000001155</v>
      </c>
      <c r="AJ73" s="3"/>
      <c r="AK73" s="2">
        <v>41</v>
      </c>
      <c r="AL73" s="2">
        <v>1.2246999999999999</v>
      </c>
      <c r="AM73" s="2">
        <f t="shared" si="9"/>
        <v>4.8999999999999044</v>
      </c>
      <c r="AO73" s="3"/>
      <c r="AP73" s="3"/>
      <c r="AQ73" s="3"/>
      <c r="AS73" s="3"/>
      <c r="AT73" s="3"/>
      <c r="AU73" s="3"/>
      <c r="AW73" s="3"/>
      <c r="AX73" s="3"/>
      <c r="AY73" s="3"/>
      <c r="BA73" s="3"/>
      <c r="BB73" s="3"/>
      <c r="BC73" s="3"/>
      <c r="BD73" s="3"/>
      <c r="BE73" s="3"/>
    </row>
    <row r="74" spans="1:57" x14ac:dyDescent="0.25">
      <c r="A74" s="3"/>
      <c r="B74" s="3"/>
      <c r="C74" s="3"/>
      <c r="E74" s="3"/>
      <c r="F74" s="3"/>
      <c r="G74" s="3"/>
      <c r="I74" s="3"/>
      <c r="J74" s="3"/>
      <c r="K74" s="3"/>
      <c r="M74" s="3"/>
      <c r="N74" s="3"/>
      <c r="O74" s="3"/>
      <c r="Q74" s="3"/>
      <c r="R74" s="3"/>
      <c r="S74" s="3"/>
      <c r="T74" s="3"/>
      <c r="U74" s="2">
        <v>42</v>
      </c>
      <c r="V74" s="2">
        <v>0.91979999999999995</v>
      </c>
      <c r="W74" s="2">
        <f t="shared" si="5"/>
        <v>4.8999999999999044</v>
      </c>
      <c r="Y74" s="2">
        <v>42</v>
      </c>
      <c r="Z74" s="2">
        <v>0.92220000000000002</v>
      </c>
      <c r="AA74" s="2">
        <f t="shared" si="6"/>
        <v>5.0999999999999934</v>
      </c>
      <c r="AC74" s="2">
        <v>42</v>
      </c>
      <c r="AD74" s="2">
        <v>1.2277</v>
      </c>
      <c r="AE74" s="2">
        <f t="shared" si="7"/>
        <v>5.0000000000001155</v>
      </c>
      <c r="AG74" s="2">
        <v>42</v>
      </c>
      <c r="AH74" s="2">
        <v>1.2324999999999999</v>
      </c>
      <c r="AI74" s="2">
        <f t="shared" si="8"/>
        <v>5.0999999999998824</v>
      </c>
      <c r="AJ74" s="3"/>
      <c r="AK74" s="2">
        <v>42</v>
      </c>
      <c r="AL74" s="2">
        <v>1.2297</v>
      </c>
      <c r="AM74" s="2">
        <f t="shared" si="9"/>
        <v>5.0000000000001155</v>
      </c>
      <c r="AO74" s="3"/>
      <c r="AP74" s="3"/>
      <c r="AQ74" s="3"/>
      <c r="AS74" s="3"/>
      <c r="AT74" s="3"/>
      <c r="AU74" s="3"/>
      <c r="AW74" s="3"/>
      <c r="AX74" s="3"/>
      <c r="AY74" s="3"/>
      <c r="BA74" s="3"/>
      <c r="BB74" s="3"/>
      <c r="BC74" s="3"/>
      <c r="BD74" s="3"/>
      <c r="BE74" s="3"/>
    </row>
    <row r="75" spans="1:57" x14ac:dyDescent="0.25">
      <c r="A75" s="3"/>
      <c r="B75" s="3"/>
      <c r="C75" s="3"/>
      <c r="E75" s="3"/>
      <c r="F75" s="3"/>
      <c r="G75" s="3"/>
      <c r="I75" s="3"/>
      <c r="J75" s="3"/>
      <c r="K75" s="3"/>
      <c r="M75" s="3"/>
      <c r="N75" s="3"/>
      <c r="O75" s="3"/>
      <c r="Q75" s="3"/>
      <c r="R75" s="3"/>
      <c r="S75" s="3"/>
      <c r="T75" s="3"/>
      <c r="U75" s="2">
        <v>43</v>
      </c>
      <c r="V75" s="2">
        <v>0.92490000000000006</v>
      </c>
      <c r="W75" s="2">
        <f t="shared" si="5"/>
        <v>5.1000000000001044</v>
      </c>
      <c r="Y75" s="2">
        <v>43</v>
      </c>
      <c r="Z75" s="2">
        <v>0.92700000000000005</v>
      </c>
      <c r="AA75" s="2">
        <f t="shared" si="6"/>
        <v>4.8000000000000265</v>
      </c>
      <c r="AC75" s="2">
        <v>43</v>
      </c>
      <c r="AD75" s="2">
        <v>1.2325999999999999</v>
      </c>
      <c r="AE75" s="2">
        <f t="shared" si="7"/>
        <v>4.8999999999999044</v>
      </c>
      <c r="AG75" s="2">
        <v>43</v>
      </c>
      <c r="AH75" s="2">
        <v>1.2375</v>
      </c>
      <c r="AI75" s="2">
        <f t="shared" si="8"/>
        <v>5.0000000000001155</v>
      </c>
      <c r="AJ75" s="3"/>
      <c r="AK75" s="2">
        <v>43</v>
      </c>
      <c r="AL75" s="2">
        <v>1.2345999999999999</v>
      </c>
      <c r="AM75" s="2">
        <f t="shared" si="9"/>
        <v>4.8999999999999044</v>
      </c>
      <c r="AO75" s="3"/>
      <c r="AP75" s="3"/>
      <c r="AQ75" s="3"/>
      <c r="AS75" s="3"/>
      <c r="AT75" s="3"/>
      <c r="AU75" s="3"/>
      <c r="AW75" s="3"/>
      <c r="AX75" s="3"/>
      <c r="AY75" s="3"/>
      <c r="BA75" s="3"/>
      <c r="BB75" s="3"/>
      <c r="BC75" s="3"/>
      <c r="BD75" s="3"/>
      <c r="BE75" s="3"/>
    </row>
    <row r="76" spans="1:57" x14ac:dyDescent="0.25">
      <c r="A76" s="3"/>
      <c r="B76" s="3"/>
      <c r="C76" s="3"/>
      <c r="E76" s="3"/>
      <c r="F76" s="3"/>
      <c r="G76" s="3"/>
      <c r="I76" s="3"/>
      <c r="J76" s="3"/>
      <c r="K76" s="3"/>
      <c r="M76" s="3"/>
      <c r="N76" s="3"/>
      <c r="O76" s="3"/>
      <c r="Q76" s="3"/>
      <c r="R76" s="3"/>
      <c r="S76" s="3"/>
      <c r="T76" s="3"/>
      <c r="U76" s="2">
        <v>44</v>
      </c>
      <c r="V76" s="2">
        <v>0.92949999999999999</v>
      </c>
      <c r="W76" s="2">
        <f t="shared" si="5"/>
        <v>4.5999999999999375</v>
      </c>
      <c r="Y76" s="2">
        <v>44</v>
      </c>
      <c r="Z76" s="2">
        <v>0.93169999999999997</v>
      </c>
      <c r="AA76" s="2">
        <f t="shared" si="6"/>
        <v>4.6999999999999265</v>
      </c>
      <c r="AC76" s="2">
        <v>44</v>
      </c>
      <c r="AD76" s="2">
        <v>1.238</v>
      </c>
      <c r="AE76" s="2">
        <f t="shared" si="7"/>
        <v>5.4000000000000714</v>
      </c>
      <c r="AG76" s="2">
        <v>44</v>
      </c>
      <c r="AH76" s="2">
        <v>1.2428999999999999</v>
      </c>
      <c r="AI76" s="2">
        <f t="shared" si="8"/>
        <v>5.3999999999998494</v>
      </c>
      <c r="AJ76" s="3"/>
      <c r="AK76" s="2">
        <v>44</v>
      </c>
      <c r="AL76" s="2">
        <v>1.2396</v>
      </c>
      <c r="AM76" s="2">
        <f t="shared" si="9"/>
        <v>5.0000000000001155</v>
      </c>
      <c r="AO76" s="3"/>
      <c r="AP76" s="3"/>
      <c r="AQ76" s="3"/>
      <c r="AS76" s="3"/>
      <c r="AT76" s="3"/>
      <c r="AU76" s="3"/>
      <c r="AW76" s="3"/>
      <c r="AX76" s="3"/>
      <c r="AY76" s="3"/>
      <c r="BA76" s="3"/>
      <c r="BB76" s="3"/>
      <c r="BC76" s="3"/>
      <c r="BD76" s="3"/>
      <c r="BE76" s="3"/>
    </row>
    <row r="77" spans="1:57" x14ac:dyDescent="0.25">
      <c r="A77" s="3"/>
      <c r="B77" s="3"/>
      <c r="C77" s="3"/>
      <c r="E77" s="3"/>
      <c r="F77" s="3"/>
      <c r="G77" s="3"/>
      <c r="I77" s="3"/>
      <c r="J77" s="3"/>
      <c r="K77" s="3"/>
      <c r="M77" s="3"/>
      <c r="N77" s="3"/>
      <c r="O77" s="3"/>
      <c r="Q77" s="3"/>
      <c r="R77" s="3"/>
      <c r="S77" s="3"/>
      <c r="T77" s="3"/>
      <c r="U77" s="2">
        <v>45</v>
      </c>
      <c r="V77" s="2">
        <v>0.9345</v>
      </c>
      <c r="W77" s="2">
        <f t="shared" si="5"/>
        <v>5.0000000000000044</v>
      </c>
      <c r="Y77" s="2">
        <v>45</v>
      </c>
      <c r="Z77" s="2">
        <v>0.93659999999999999</v>
      </c>
      <c r="AA77" s="2">
        <f t="shared" si="6"/>
        <v>4.9000000000000155</v>
      </c>
      <c r="AC77" s="2">
        <v>45</v>
      </c>
      <c r="AD77" s="2">
        <v>1.2428999999999999</v>
      </c>
      <c r="AE77" s="2">
        <f t="shared" si="7"/>
        <v>4.8999999999999044</v>
      </c>
      <c r="AG77" s="2">
        <v>45</v>
      </c>
      <c r="AH77" s="2">
        <v>1.248</v>
      </c>
      <c r="AI77" s="2">
        <f t="shared" si="8"/>
        <v>5.1000000000001044</v>
      </c>
      <c r="AJ77" s="3"/>
      <c r="AK77" s="2">
        <v>45</v>
      </c>
      <c r="AL77" s="2">
        <v>1.2445999999999999</v>
      </c>
      <c r="AM77" s="2">
        <f t="shared" si="9"/>
        <v>4.9999999999998934</v>
      </c>
      <c r="AO77" s="3"/>
      <c r="AP77" s="3"/>
      <c r="AQ77" s="3"/>
      <c r="AS77" s="3"/>
      <c r="AT77" s="3"/>
      <c r="AU77" s="3"/>
      <c r="AW77" s="3"/>
      <c r="AX77" s="3"/>
      <c r="AY77" s="3"/>
      <c r="BA77" s="3"/>
      <c r="BB77" s="3"/>
      <c r="BC77" s="3"/>
      <c r="BD77" s="3"/>
      <c r="BE77" s="3"/>
    </row>
    <row r="78" spans="1:57" x14ac:dyDescent="0.25">
      <c r="A78" s="3"/>
      <c r="B78" s="3"/>
      <c r="C78" s="3"/>
      <c r="E78" s="3"/>
      <c r="F78" s="3"/>
      <c r="G78" s="3"/>
      <c r="I78" s="3"/>
      <c r="J78" s="3"/>
      <c r="K78" s="3"/>
      <c r="M78" s="3"/>
      <c r="N78" s="3"/>
      <c r="O78" s="3"/>
      <c r="Q78" s="3"/>
      <c r="R78" s="3"/>
      <c r="S78" s="3"/>
      <c r="T78" s="3"/>
      <c r="U78" s="2">
        <v>46</v>
      </c>
      <c r="V78" s="2">
        <v>0.9395</v>
      </c>
      <c r="W78" s="2">
        <f t="shared" si="5"/>
        <v>5.0000000000000044</v>
      </c>
      <c r="Y78" s="2">
        <v>46</v>
      </c>
      <c r="Z78" s="2">
        <v>0.94159999999999999</v>
      </c>
      <c r="AA78" s="2">
        <f t="shared" si="6"/>
        <v>5.0000000000000044</v>
      </c>
      <c r="AC78" s="2">
        <v>46</v>
      </c>
      <c r="AD78" s="2">
        <v>1.248</v>
      </c>
      <c r="AE78" s="2">
        <f t="shared" si="7"/>
        <v>5.1000000000001044</v>
      </c>
      <c r="AG78" s="2">
        <v>46</v>
      </c>
      <c r="AH78" s="2">
        <v>1.2531000000000001</v>
      </c>
      <c r="AI78" s="2">
        <f t="shared" si="8"/>
        <v>5.1000000000001044</v>
      </c>
      <c r="AJ78" s="3"/>
      <c r="AK78" s="2">
        <v>46</v>
      </c>
      <c r="AL78" s="2">
        <v>1.2496</v>
      </c>
      <c r="AM78" s="2">
        <f t="shared" si="9"/>
        <v>5.0000000000001155</v>
      </c>
      <c r="AO78" s="3"/>
      <c r="AP78" s="3"/>
      <c r="AQ78" s="3"/>
      <c r="AS78" s="3"/>
      <c r="AT78" s="3"/>
      <c r="AU78" s="3"/>
      <c r="AW78" s="3"/>
      <c r="AX78" s="3"/>
      <c r="AY78" s="3"/>
      <c r="BA78" s="3"/>
      <c r="BB78" s="3"/>
      <c r="BC78" s="3"/>
      <c r="BD78" s="3"/>
      <c r="BE78" s="3"/>
    </row>
    <row r="79" spans="1:57" x14ac:dyDescent="0.25">
      <c r="A79" s="3"/>
      <c r="B79" s="3"/>
      <c r="C79" s="3"/>
      <c r="E79" s="3"/>
      <c r="F79" s="3"/>
      <c r="G79" s="3"/>
      <c r="I79" s="3"/>
      <c r="J79" s="3"/>
      <c r="K79" s="3"/>
      <c r="M79" s="3"/>
      <c r="N79" s="3"/>
      <c r="O79" s="3"/>
      <c r="Q79" s="3"/>
      <c r="R79" s="3"/>
      <c r="S79" s="3"/>
      <c r="T79" s="3"/>
      <c r="U79" s="2">
        <v>47</v>
      </c>
      <c r="V79" s="2">
        <v>0.94450000000000001</v>
      </c>
      <c r="W79" s="2">
        <f t="shared" si="5"/>
        <v>5.0000000000000044</v>
      </c>
      <c r="Y79" s="2">
        <v>47</v>
      </c>
      <c r="Z79" s="2">
        <v>0.94640000000000002</v>
      </c>
      <c r="AA79" s="2">
        <f t="shared" si="6"/>
        <v>4.8000000000000265</v>
      </c>
      <c r="AC79" s="2">
        <v>47</v>
      </c>
      <c r="AD79" s="2">
        <v>1.2531000000000001</v>
      </c>
      <c r="AE79" s="2">
        <f t="shared" si="7"/>
        <v>5.1000000000001044</v>
      </c>
      <c r="AG79" s="2">
        <v>47</v>
      </c>
      <c r="AH79" s="2">
        <v>1.2582</v>
      </c>
      <c r="AI79" s="2">
        <f t="shared" si="8"/>
        <v>5.0999999999998824</v>
      </c>
      <c r="AJ79" s="3"/>
      <c r="AK79" s="2">
        <v>47</v>
      </c>
      <c r="AL79" s="2">
        <v>1.2545999999999999</v>
      </c>
      <c r="AM79" s="2">
        <f t="shared" si="9"/>
        <v>4.9999999999998934</v>
      </c>
      <c r="AO79" s="3"/>
      <c r="AP79" s="3"/>
      <c r="AQ79" s="3"/>
      <c r="AS79" s="3"/>
      <c r="AT79" s="3"/>
      <c r="AU79" s="3"/>
      <c r="AW79" s="3"/>
      <c r="AX79" s="3"/>
      <c r="AY79" s="3"/>
      <c r="BA79" s="3"/>
      <c r="BB79" s="3"/>
      <c r="BC79" s="3"/>
      <c r="BD79" s="3"/>
      <c r="BE79" s="3"/>
    </row>
    <row r="80" spans="1:57" x14ac:dyDescent="0.25">
      <c r="A80" s="3"/>
      <c r="B80" s="3"/>
      <c r="C80" s="3"/>
      <c r="E80" s="3"/>
      <c r="F80" s="3"/>
      <c r="G80" s="3"/>
      <c r="I80" s="3"/>
      <c r="J80" s="3"/>
      <c r="K80" s="3"/>
      <c r="M80" s="3"/>
      <c r="N80" s="3"/>
      <c r="O80" s="3"/>
      <c r="Q80" s="3"/>
      <c r="R80" s="3"/>
      <c r="S80" s="3"/>
      <c r="T80" s="3"/>
      <c r="U80" s="2">
        <v>48</v>
      </c>
      <c r="V80" s="2">
        <v>0.94920000000000004</v>
      </c>
      <c r="W80" s="2">
        <f t="shared" si="5"/>
        <v>4.7000000000000375</v>
      </c>
      <c r="Y80" s="2">
        <v>48</v>
      </c>
      <c r="Z80" s="2">
        <v>0.95130000000000003</v>
      </c>
      <c r="AA80" s="2">
        <f t="shared" si="6"/>
        <v>4.9000000000000155</v>
      </c>
      <c r="AC80" s="2">
        <v>48</v>
      </c>
      <c r="AD80" s="2">
        <v>1.2579</v>
      </c>
      <c r="AE80" s="2">
        <f t="shared" si="7"/>
        <v>4.7999999999999154</v>
      </c>
      <c r="AG80" s="2">
        <v>48</v>
      </c>
      <c r="AH80" s="2">
        <v>1.2632000000000001</v>
      </c>
      <c r="AI80" s="2">
        <f t="shared" si="8"/>
        <v>5.0000000000001155</v>
      </c>
      <c r="AJ80" s="3"/>
      <c r="AK80" s="2">
        <v>48</v>
      </c>
      <c r="AL80" s="2">
        <v>1.2595000000000001</v>
      </c>
      <c r="AM80" s="2">
        <f t="shared" si="9"/>
        <v>4.9000000000001265</v>
      </c>
      <c r="AO80" s="3"/>
      <c r="AP80" s="3"/>
      <c r="AQ80" s="3"/>
      <c r="AS80" s="3"/>
      <c r="AT80" s="3"/>
      <c r="AU80" s="3"/>
      <c r="AW80" s="3"/>
      <c r="AX80" s="3"/>
      <c r="AY80" s="3"/>
      <c r="BA80" s="3"/>
      <c r="BB80" s="3"/>
      <c r="BC80" s="3"/>
      <c r="BD80" s="3"/>
      <c r="BE80" s="3"/>
    </row>
    <row r="81" spans="1:57" x14ac:dyDescent="0.25">
      <c r="A81" s="3"/>
      <c r="B81" s="3"/>
      <c r="C81" s="3"/>
      <c r="E81" s="3"/>
      <c r="F81" s="3"/>
      <c r="G81" s="3"/>
      <c r="I81" s="3"/>
      <c r="J81" s="3"/>
      <c r="K81" s="3"/>
      <c r="M81" s="3"/>
      <c r="N81" s="3"/>
      <c r="O81" s="3"/>
      <c r="Q81" s="3"/>
      <c r="R81" s="3"/>
      <c r="S81" s="3"/>
      <c r="T81" s="3"/>
      <c r="U81" s="2">
        <v>49</v>
      </c>
      <c r="V81" s="2">
        <v>0.95389999999999997</v>
      </c>
      <c r="W81" s="2">
        <f t="shared" si="5"/>
        <v>4.6999999999999265</v>
      </c>
      <c r="Y81" s="2">
        <v>49</v>
      </c>
      <c r="Z81" s="2">
        <v>0.95609999999999995</v>
      </c>
      <c r="AA81" s="2">
        <f t="shared" si="6"/>
        <v>4.7999999999999154</v>
      </c>
      <c r="AC81" s="2">
        <v>49</v>
      </c>
      <c r="AD81" s="2">
        <v>1.2627999999999999</v>
      </c>
      <c r="AE81" s="2">
        <f t="shared" si="7"/>
        <v>4.8999999999999044</v>
      </c>
      <c r="AG81" s="2">
        <v>49</v>
      </c>
      <c r="AH81" s="2">
        <v>1.2682</v>
      </c>
      <c r="AI81" s="2">
        <f t="shared" si="8"/>
        <v>4.9999999999998934</v>
      </c>
      <c r="AJ81" s="3"/>
      <c r="AK81" s="2">
        <v>49</v>
      </c>
      <c r="AL81" s="2">
        <v>1.2645</v>
      </c>
      <c r="AM81" s="2">
        <f t="shared" si="9"/>
        <v>4.9999999999998934</v>
      </c>
      <c r="AO81" s="3"/>
      <c r="AP81" s="3"/>
      <c r="AQ81" s="3"/>
      <c r="AS81" s="3"/>
      <c r="AT81" s="3"/>
      <c r="AU81" s="3"/>
      <c r="AW81" s="3"/>
      <c r="AX81" s="3"/>
      <c r="AY81" s="3"/>
      <c r="BA81" s="3"/>
      <c r="BB81" s="3"/>
      <c r="BC81" s="3"/>
      <c r="BD81" s="3"/>
      <c r="BE81" s="3"/>
    </row>
    <row r="82" spans="1:57" x14ac:dyDescent="0.25">
      <c r="A82" s="3"/>
      <c r="B82" s="3"/>
      <c r="C82" s="3"/>
      <c r="E82" s="3"/>
      <c r="F82" s="3"/>
      <c r="G82" s="3"/>
      <c r="I82" s="3"/>
      <c r="J82" s="3"/>
      <c r="K82" s="3"/>
      <c r="M82" s="3"/>
      <c r="N82" s="3"/>
      <c r="O82" s="3"/>
      <c r="Q82" s="3"/>
      <c r="R82" s="3"/>
      <c r="S82" s="3"/>
      <c r="T82" s="3"/>
      <c r="U82" s="2" t="s">
        <v>67</v>
      </c>
      <c r="V82" s="2">
        <v>0.95899999999999996</v>
      </c>
      <c r="W82" s="2">
        <f t="shared" si="5"/>
        <v>5.0999999999999934</v>
      </c>
      <c r="Y82" s="2" t="s">
        <v>67</v>
      </c>
      <c r="Z82" s="2">
        <v>0.96109999999999995</v>
      </c>
      <c r="AA82" s="2">
        <f t="shared" si="6"/>
        <v>5.0000000000000044</v>
      </c>
      <c r="AC82" s="2" t="s">
        <v>67</v>
      </c>
      <c r="AD82" s="2">
        <v>1.2678</v>
      </c>
      <c r="AE82" s="2">
        <f t="shared" si="7"/>
        <v>5.0000000000001155</v>
      </c>
      <c r="AG82" s="2" t="s">
        <v>67</v>
      </c>
      <c r="AH82" s="2">
        <v>1.2733000000000001</v>
      </c>
      <c r="AI82" s="2">
        <f t="shared" si="8"/>
        <v>5.1000000000001044</v>
      </c>
      <c r="AJ82" s="3"/>
      <c r="AK82" s="2" t="s">
        <v>67</v>
      </c>
      <c r="AL82" s="2">
        <v>1.2696000000000001</v>
      </c>
      <c r="AM82" s="2">
        <f t="shared" si="9"/>
        <v>5.1000000000001044</v>
      </c>
      <c r="AO82" s="3"/>
      <c r="AP82" s="3"/>
      <c r="AQ82" s="3"/>
      <c r="AS82" s="3"/>
      <c r="AT82" s="3"/>
      <c r="AU82" s="3"/>
      <c r="AW82" s="3"/>
      <c r="AX82" s="3"/>
      <c r="AY82" s="3"/>
      <c r="BA82" s="3"/>
      <c r="BB82" s="3"/>
      <c r="BC82" s="3"/>
      <c r="BD82" s="3"/>
      <c r="BE82" s="3"/>
    </row>
    <row r="83" spans="1:57" x14ac:dyDescent="0.25">
      <c r="A83" s="3"/>
      <c r="B83" s="3"/>
      <c r="C83" s="3"/>
      <c r="E83" s="3"/>
      <c r="F83" s="3"/>
      <c r="G83" s="3"/>
      <c r="I83" s="3"/>
      <c r="J83" s="3"/>
      <c r="K83" s="3"/>
      <c r="M83" s="3"/>
      <c r="N83" s="3"/>
      <c r="O83" s="3"/>
      <c r="Q83" s="3"/>
      <c r="R83" s="3"/>
      <c r="S83" s="3"/>
      <c r="T83" s="3"/>
      <c r="U83" s="2" t="s">
        <v>68</v>
      </c>
      <c r="V83" s="2">
        <v>0.96399999999999997</v>
      </c>
      <c r="W83" s="2">
        <f t="shared" si="5"/>
        <v>5.0000000000000044</v>
      </c>
      <c r="Y83" s="2" t="s">
        <v>68</v>
      </c>
      <c r="Z83" s="2">
        <v>0.96599999999999997</v>
      </c>
      <c r="AA83" s="2">
        <f t="shared" si="6"/>
        <v>4.9000000000000155</v>
      </c>
      <c r="AC83" s="2" t="s">
        <v>68</v>
      </c>
      <c r="AD83" s="2">
        <v>1.2727999999999999</v>
      </c>
      <c r="AE83" s="2">
        <f t="shared" si="7"/>
        <v>4.9999999999998934</v>
      </c>
      <c r="AG83" s="2" t="s">
        <v>68</v>
      </c>
      <c r="AH83" s="2">
        <v>1.2784</v>
      </c>
      <c r="AI83" s="2">
        <f t="shared" si="8"/>
        <v>5.0999999999998824</v>
      </c>
      <c r="AJ83" s="3"/>
      <c r="AK83" s="2" t="s">
        <v>68</v>
      </c>
      <c r="AL83" s="2">
        <v>1.2745</v>
      </c>
      <c r="AM83" s="2">
        <f t="shared" si="9"/>
        <v>4.8999999999999044</v>
      </c>
      <c r="AO83" s="3"/>
      <c r="AP83" s="3"/>
      <c r="AQ83" s="3"/>
      <c r="AS83" s="3"/>
      <c r="AT83" s="3"/>
      <c r="AU83" s="3"/>
      <c r="AW83" s="3"/>
      <c r="AX83" s="3"/>
      <c r="AY83" s="3"/>
      <c r="BA83" s="3"/>
      <c r="BB83" s="3"/>
      <c r="BC83" s="3"/>
      <c r="BD83" s="3"/>
      <c r="BE83" s="3"/>
    </row>
    <row r="84" spans="1:57" x14ac:dyDescent="0.25">
      <c r="A84" s="3"/>
      <c r="B84" s="3"/>
      <c r="C84" s="3"/>
      <c r="E84" s="3"/>
      <c r="F84" s="3"/>
      <c r="G84" s="3"/>
      <c r="I84" s="3"/>
      <c r="J84" s="3"/>
      <c r="K84" s="3"/>
      <c r="M84" s="3"/>
      <c r="N84" s="3"/>
      <c r="O84" s="3"/>
      <c r="Q84" s="3"/>
      <c r="R84" s="3"/>
      <c r="S84" s="3"/>
      <c r="T84" s="3"/>
      <c r="U84" s="2" t="s">
        <v>69</v>
      </c>
      <c r="V84" s="2">
        <v>0.96860000000000002</v>
      </c>
      <c r="W84" s="2">
        <f t="shared" si="5"/>
        <v>4.6000000000000485</v>
      </c>
      <c r="Y84" s="2" t="s">
        <v>69</v>
      </c>
      <c r="Z84" s="2">
        <v>0.9708</v>
      </c>
      <c r="AA84" s="2">
        <f t="shared" si="6"/>
        <v>4.8000000000000265</v>
      </c>
      <c r="AC84" s="2" t="s">
        <v>69</v>
      </c>
      <c r="AD84" s="2">
        <v>1.2782</v>
      </c>
      <c r="AE84" s="2">
        <f t="shared" si="7"/>
        <v>5.4000000000000714</v>
      </c>
      <c r="AG84" s="2" t="s">
        <v>69</v>
      </c>
      <c r="AH84" s="2">
        <v>1.2837000000000001</v>
      </c>
      <c r="AI84" s="2">
        <f t="shared" si="8"/>
        <v>5.3000000000000824</v>
      </c>
      <c r="AJ84" s="3"/>
      <c r="AK84" s="2" t="s">
        <v>69</v>
      </c>
      <c r="AL84" s="2">
        <v>1.2796000000000001</v>
      </c>
      <c r="AM84" s="2">
        <f t="shared" si="9"/>
        <v>5.1000000000001044</v>
      </c>
      <c r="AO84" s="3"/>
      <c r="AP84" s="3"/>
      <c r="AQ84" s="3"/>
      <c r="AS84" s="3"/>
      <c r="AT84" s="3"/>
      <c r="AU84" s="3"/>
      <c r="AW84" s="3"/>
      <c r="AX84" s="3"/>
      <c r="AY84" s="3"/>
      <c r="BA84" s="3"/>
      <c r="BB84" s="3"/>
      <c r="BC84" s="3"/>
      <c r="BD84" s="3"/>
      <c r="BE84" s="3"/>
    </row>
    <row r="85" spans="1:57" x14ac:dyDescent="0.25">
      <c r="A85" s="3"/>
      <c r="B85" s="3"/>
      <c r="C85" s="3"/>
      <c r="E85" s="3"/>
      <c r="F85" s="3"/>
      <c r="G85" s="3"/>
      <c r="I85" s="3"/>
      <c r="J85" s="3"/>
      <c r="K85" s="3"/>
      <c r="M85" s="3"/>
      <c r="N85" s="3"/>
      <c r="O85" s="3"/>
      <c r="Q85" s="3"/>
      <c r="R85" s="3"/>
      <c r="S85" s="3"/>
      <c r="T85" s="3"/>
      <c r="U85" s="2" t="s">
        <v>70</v>
      </c>
      <c r="V85" s="2">
        <v>0.97360000000000002</v>
      </c>
      <c r="W85" s="2">
        <f t="shared" si="5"/>
        <v>5.0000000000000044</v>
      </c>
      <c r="Y85" s="2" t="s">
        <v>70</v>
      </c>
      <c r="Z85" s="2">
        <v>0.9758</v>
      </c>
      <c r="AA85" s="2">
        <f t="shared" si="6"/>
        <v>5.0000000000000044</v>
      </c>
      <c r="AC85" s="2" t="s">
        <v>70</v>
      </c>
      <c r="AD85" s="2">
        <v>1.2830999999999999</v>
      </c>
      <c r="AE85" s="2">
        <f t="shared" si="7"/>
        <v>4.8999999999999044</v>
      </c>
      <c r="AG85" s="2" t="s">
        <v>70</v>
      </c>
      <c r="AH85" s="2">
        <v>1.2887</v>
      </c>
      <c r="AI85" s="2">
        <f t="shared" si="8"/>
        <v>4.9999999999998934</v>
      </c>
      <c r="AJ85" s="3"/>
      <c r="AK85" s="2" t="s">
        <v>70</v>
      </c>
      <c r="AL85" s="2">
        <v>1.2845</v>
      </c>
      <c r="AM85" s="2">
        <f t="shared" si="9"/>
        <v>4.8999999999999044</v>
      </c>
      <c r="AO85" s="3"/>
      <c r="AP85" s="3"/>
      <c r="AQ85" s="3"/>
      <c r="AS85" s="3"/>
      <c r="AT85" s="3"/>
      <c r="AU85" s="3"/>
      <c r="AW85" s="3"/>
      <c r="AX85" s="3"/>
      <c r="AY85" s="3"/>
      <c r="BA85" s="3"/>
      <c r="BB85" s="3"/>
      <c r="BC85" s="3"/>
      <c r="BD85" s="3"/>
      <c r="BE85" s="3"/>
    </row>
    <row r="86" spans="1:57" x14ac:dyDescent="0.25">
      <c r="A86" s="3"/>
      <c r="B86" s="3"/>
      <c r="C86" s="3"/>
      <c r="E86" s="3"/>
      <c r="F86" s="3"/>
      <c r="G86" s="3"/>
      <c r="I86" s="3"/>
      <c r="J86" s="3"/>
      <c r="K86" s="3"/>
      <c r="M86" s="3"/>
      <c r="N86" s="3"/>
      <c r="O86" s="3"/>
      <c r="Q86" s="3"/>
      <c r="R86" s="3"/>
      <c r="S86" s="3"/>
      <c r="T86" s="3"/>
      <c r="U86" s="2" t="s">
        <v>71</v>
      </c>
      <c r="V86" s="2">
        <v>0.97870000000000001</v>
      </c>
      <c r="W86" s="2">
        <f t="shared" si="5"/>
        <v>5.0999999999999934</v>
      </c>
      <c r="Y86" s="2" t="s">
        <v>71</v>
      </c>
      <c r="Z86" s="2">
        <v>0.98080000000000001</v>
      </c>
      <c r="AA86" s="2">
        <f t="shared" si="6"/>
        <v>5.0000000000000044</v>
      </c>
      <c r="AC86" s="2" t="s">
        <v>71</v>
      </c>
      <c r="AD86" s="2">
        <v>1.2881</v>
      </c>
      <c r="AE86" s="2">
        <f t="shared" si="7"/>
        <v>5.0000000000001155</v>
      </c>
      <c r="AG86" s="2" t="s">
        <v>71</v>
      </c>
      <c r="AH86" s="2">
        <v>1.2938000000000001</v>
      </c>
      <c r="AI86" s="2">
        <f t="shared" si="8"/>
        <v>5.1000000000001044</v>
      </c>
      <c r="AJ86" s="3"/>
      <c r="AK86" s="2" t="s">
        <v>71</v>
      </c>
      <c r="AL86" s="2">
        <v>1.2895000000000001</v>
      </c>
      <c r="AM86" s="2">
        <f t="shared" si="9"/>
        <v>5.0000000000001155</v>
      </c>
      <c r="AO86" s="3"/>
      <c r="AP86" s="3"/>
      <c r="AQ86" s="3"/>
      <c r="AS86" s="3"/>
      <c r="AT86" s="3"/>
      <c r="AU86" s="3"/>
      <c r="AW86" s="3"/>
      <c r="AX86" s="3"/>
      <c r="AY86" s="3"/>
      <c r="BA86" s="3"/>
      <c r="BB86" s="3"/>
      <c r="BC86" s="3"/>
      <c r="BD86" s="3"/>
      <c r="BE86" s="3"/>
    </row>
    <row r="87" spans="1:57" x14ac:dyDescent="0.25">
      <c r="A87" s="3"/>
      <c r="B87" s="3"/>
      <c r="C87" s="3"/>
      <c r="E87" s="3"/>
      <c r="F87" s="3"/>
      <c r="G87" s="3"/>
      <c r="I87" s="3"/>
      <c r="J87" s="3"/>
      <c r="K87" s="3"/>
      <c r="M87" s="3"/>
      <c r="N87" s="3"/>
      <c r="O87" s="3"/>
      <c r="Q87" s="3"/>
      <c r="R87" s="3"/>
      <c r="S87" s="3"/>
      <c r="T87" s="3"/>
      <c r="U87" s="2" t="s">
        <v>72</v>
      </c>
      <c r="V87" s="2">
        <v>0.98360000000000003</v>
      </c>
      <c r="W87" s="2">
        <f t="shared" si="5"/>
        <v>4.9000000000000155</v>
      </c>
      <c r="Y87" s="2" t="s">
        <v>72</v>
      </c>
      <c r="Z87" s="2">
        <v>0.98560000000000003</v>
      </c>
      <c r="AA87" s="2">
        <f t="shared" si="6"/>
        <v>4.8000000000000265</v>
      </c>
      <c r="AC87" s="2" t="s">
        <v>72</v>
      </c>
      <c r="AD87" s="2">
        <v>1.2929999999999999</v>
      </c>
      <c r="AE87" s="2">
        <f t="shared" si="7"/>
        <v>4.8999999999999044</v>
      </c>
      <c r="AG87" s="2" t="s">
        <v>72</v>
      </c>
      <c r="AH87" s="2">
        <v>1.2988</v>
      </c>
      <c r="AI87" s="2">
        <f t="shared" si="8"/>
        <v>4.9999999999998934</v>
      </c>
      <c r="AJ87" s="3"/>
      <c r="AK87" s="2" t="s">
        <v>72</v>
      </c>
      <c r="AL87" s="2">
        <v>1.2944</v>
      </c>
      <c r="AM87" s="2">
        <f t="shared" si="9"/>
        <v>4.8999999999999044</v>
      </c>
      <c r="AO87" s="3"/>
      <c r="AP87" s="3"/>
      <c r="AQ87" s="3"/>
      <c r="AS87" s="3"/>
      <c r="AT87" s="3"/>
      <c r="AU87" s="3"/>
      <c r="AW87" s="3"/>
      <c r="AX87" s="3"/>
      <c r="AY87" s="3"/>
      <c r="BA87" s="3"/>
      <c r="BB87" s="3"/>
      <c r="BC87" s="3"/>
      <c r="BD87" s="3"/>
      <c r="BE87" s="3"/>
    </row>
    <row r="88" spans="1:57" x14ac:dyDescent="0.25">
      <c r="A88" s="3"/>
      <c r="B88" s="3"/>
      <c r="C88" s="3"/>
      <c r="E88" s="3"/>
      <c r="F88" s="3"/>
      <c r="G88" s="3"/>
      <c r="I88" s="3"/>
      <c r="J88" s="3"/>
      <c r="K88" s="3"/>
      <c r="M88" s="3"/>
      <c r="N88" s="3"/>
      <c r="O88" s="3"/>
      <c r="Q88" s="3"/>
      <c r="R88" s="3"/>
      <c r="S88" s="3"/>
      <c r="T88" s="3"/>
      <c r="U88" s="2">
        <v>50</v>
      </c>
      <c r="V88" s="2">
        <v>0.98839999999999995</v>
      </c>
      <c r="W88" s="2">
        <f t="shared" si="5"/>
        <v>4.7999999999999154</v>
      </c>
      <c r="Y88" s="2">
        <v>50</v>
      </c>
      <c r="Z88" s="2">
        <v>0.99070000000000003</v>
      </c>
      <c r="AA88" s="2">
        <f t="shared" si="6"/>
        <v>5.0999999999999934</v>
      </c>
      <c r="AC88" s="2">
        <v>50</v>
      </c>
      <c r="AD88" s="2">
        <v>1.2982</v>
      </c>
      <c r="AE88" s="2">
        <f t="shared" si="7"/>
        <v>5.2000000000000934</v>
      </c>
      <c r="AG88" s="2">
        <v>50</v>
      </c>
      <c r="AH88" s="2">
        <v>1.3028</v>
      </c>
      <c r="AI88" s="2">
        <f t="shared" si="8"/>
        <v>4.0000000000000036</v>
      </c>
      <c r="AJ88" s="3"/>
      <c r="AK88" s="2">
        <v>50</v>
      </c>
      <c r="AL88" s="2">
        <v>1.2994000000000001</v>
      </c>
      <c r="AM88" s="2">
        <f t="shared" si="9"/>
        <v>5.0000000000001155</v>
      </c>
      <c r="AO88" s="3"/>
      <c r="AP88" s="3"/>
      <c r="AQ88" s="3"/>
      <c r="AS88" s="3"/>
      <c r="AT88" s="3"/>
      <c r="AU88" s="3"/>
      <c r="AW88" s="3"/>
      <c r="AX88" s="3"/>
      <c r="AY88" s="3"/>
      <c r="BA88" s="3"/>
      <c r="BB88" s="3"/>
      <c r="BC88" s="3"/>
      <c r="BD88" s="3"/>
      <c r="BE88" s="3"/>
    </row>
    <row r="89" spans="1:57" x14ac:dyDescent="0.25">
      <c r="A89" s="3"/>
      <c r="B89" s="3"/>
      <c r="C89" s="3"/>
      <c r="E89" s="3"/>
      <c r="F89" s="3"/>
      <c r="G89" s="3"/>
      <c r="I89" s="3"/>
      <c r="J89" s="3"/>
      <c r="K89" s="3"/>
      <c r="M89" s="3"/>
      <c r="N89" s="3"/>
      <c r="O89" s="3"/>
      <c r="Q89" s="3"/>
      <c r="R89" s="3"/>
      <c r="S89" s="3"/>
      <c r="T89" s="3"/>
      <c r="U89" s="2">
        <v>51</v>
      </c>
      <c r="V89" s="2">
        <v>0.99339999999999995</v>
      </c>
      <c r="W89" s="2">
        <f t="shared" si="5"/>
        <v>5.0000000000000044</v>
      </c>
      <c r="Y89" s="2">
        <v>51</v>
      </c>
      <c r="Z89" s="2">
        <v>0.99560000000000004</v>
      </c>
      <c r="AA89" s="2">
        <f t="shared" si="6"/>
        <v>4.9000000000000155</v>
      </c>
      <c r="AC89" s="2">
        <v>51</v>
      </c>
      <c r="AD89" s="2">
        <v>1.3031999999999999</v>
      </c>
      <c r="AE89" s="2">
        <f t="shared" si="7"/>
        <v>4.9999999999998934</v>
      </c>
      <c r="AG89" s="2">
        <v>51</v>
      </c>
      <c r="AH89" s="2">
        <v>1.3079000000000001</v>
      </c>
      <c r="AI89" s="2">
        <f t="shared" si="8"/>
        <v>5.1000000000001044</v>
      </c>
      <c r="AJ89" s="3"/>
      <c r="AK89" s="2">
        <v>51</v>
      </c>
      <c r="AL89" s="2">
        <v>1.3043</v>
      </c>
      <c r="AM89" s="2">
        <f t="shared" si="9"/>
        <v>4.8999999999999044</v>
      </c>
      <c r="AO89" s="3"/>
      <c r="AP89" s="3"/>
      <c r="AQ89" s="3"/>
      <c r="AS89" s="3"/>
      <c r="AT89" s="3"/>
      <c r="AU89" s="3"/>
      <c r="AW89" s="3"/>
      <c r="AX89" s="3"/>
      <c r="AY89" s="3"/>
      <c r="BA89" s="3"/>
      <c r="BB89" s="3"/>
      <c r="BC89" s="3"/>
      <c r="BD89" s="3"/>
      <c r="BE89" s="3"/>
    </row>
    <row r="90" spans="1:57" x14ac:dyDescent="0.25">
      <c r="A90" s="3"/>
      <c r="B90" s="3"/>
      <c r="C90" s="3"/>
      <c r="E90" s="3"/>
      <c r="F90" s="3"/>
      <c r="G90" s="3"/>
      <c r="I90" s="3"/>
      <c r="J90" s="3"/>
      <c r="K90" s="3"/>
      <c r="M90" s="3"/>
      <c r="N90" s="3"/>
      <c r="O90" s="3"/>
      <c r="Q90" s="3"/>
      <c r="R90" s="3"/>
      <c r="S90" s="3"/>
      <c r="T90" s="3"/>
      <c r="U90" s="2">
        <v>52</v>
      </c>
      <c r="V90" s="2">
        <v>0.99860000000000004</v>
      </c>
      <c r="W90" s="2">
        <f t="shared" si="5"/>
        <v>5.2000000000000934</v>
      </c>
      <c r="Y90" s="2">
        <v>52</v>
      </c>
      <c r="Z90" s="2">
        <v>1.0005999999999999</v>
      </c>
      <c r="AA90" s="2">
        <f t="shared" si="6"/>
        <v>4.9999999999998934</v>
      </c>
      <c r="AC90" s="2">
        <v>52</v>
      </c>
      <c r="AD90" s="2">
        <v>1.3082</v>
      </c>
      <c r="AE90" s="2">
        <f t="shared" si="7"/>
        <v>5.0000000000001155</v>
      </c>
      <c r="AG90" s="2">
        <v>52</v>
      </c>
      <c r="AH90" s="2">
        <v>1.3129</v>
      </c>
      <c r="AI90" s="2">
        <f t="shared" si="8"/>
        <v>4.9999999999998934</v>
      </c>
      <c r="AJ90" s="3"/>
      <c r="AK90" s="2">
        <v>52</v>
      </c>
      <c r="AL90" s="2">
        <v>1.3092999999999999</v>
      </c>
      <c r="AM90" s="2">
        <f t="shared" si="9"/>
        <v>4.9999999999998934</v>
      </c>
      <c r="AO90" s="3"/>
      <c r="AP90" s="3"/>
      <c r="AQ90" s="3"/>
      <c r="AS90" s="3"/>
      <c r="AT90" s="3"/>
      <c r="AU90" s="3"/>
      <c r="AW90" s="3"/>
      <c r="AX90" s="3"/>
      <c r="AY90" s="3"/>
      <c r="BA90" s="3"/>
      <c r="BB90" s="3"/>
      <c r="BC90" s="3"/>
      <c r="BD90" s="3"/>
      <c r="BE90" s="3"/>
    </row>
    <row r="91" spans="1:57" x14ac:dyDescent="0.25">
      <c r="A91" s="3"/>
      <c r="B91" s="3"/>
      <c r="C91" s="3"/>
      <c r="E91" s="3"/>
      <c r="F91" s="3"/>
      <c r="G91" s="3"/>
      <c r="I91" s="3"/>
      <c r="J91" s="3"/>
      <c r="K91" s="3"/>
      <c r="M91" s="3"/>
      <c r="N91" s="3"/>
      <c r="O91" s="3"/>
      <c r="Q91" s="3"/>
      <c r="R91" s="3"/>
      <c r="S91" s="3"/>
      <c r="T91" s="3"/>
      <c r="U91" s="2">
        <v>53</v>
      </c>
      <c r="V91" s="2">
        <v>1.0036</v>
      </c>
      <c r="W91" s="2">
        <f t="shared" si="5"/>
        <v>5.0000000000000044</v>
      </c>
      <c r="Y91" s="2">
        <v>53</v>
      </c>
      <c r="Z91" s="2">
        <v>1.0055000000000001</v>
      </c>
      <c r="AA91" s="2">
        <f t="shared" si="6"/>
        <v>4.9000000000001265</v>
      </c>
      <c r="AC91" s="2">
        <v>53</v>
      </c>
      <c r="AD91" s="2">
        <v>1.3130999999999999</v>
      </c>
      <c r="AE91" s="2">
        <f t="shared" si="7"/>
        <v>4.8999999999999044</v>
      </c>
      <c r="AG91" s="2">
        <v>53</v>
      </c>
      <c r="AH91" s="2">
        <v>1.3179000000000001</v>
      </c>
      <c r="AI91" s="2">
        <f t="shared" si="8"/>
        <v>5.0000000000001155</v>
      </c>
      <c r="AJ91" s="3"/>
      <c r="AK91" s="2">
        <v>53</v>
      </c>
      <c r="AL91" s="2">
        <v>1.3142</v>
      </c>
      <c r="AM91" s="2">
        <f t="shared" si="9"/>
        <v>4.9000000000001265</v>
      </c>
      <c r="AO91" s="3"/>
      <c r="AP91" s="3"/>
      <c r="AQ91" s="3"/>
      <c r="AS91" s="3"/>
      <c r="AT91" s="3"/>
      <c r="AU91" s="3"/>
      <c r="AW91" s="3"/>
      <c r="AX91" s="3"/>
      <c r="AY91" s="3"/>
      <c r="BA91" s="3"/>
      <c r="BB91" s="3"/>
      <c r="BC91" s="3"/>
      <c r="BD91" s="3"/>
      <c r="BE91" s="3"/>
    </row>
    <row r="92" spans="1:57" x14ac:dyDescent="0.25">
      <c r="A92" s="3"/>
      <c r="B92" s="3"/>
      <c r="C92" s="3"/>
      <c r="E92" s="3"/>
      <c r="F92" s="3"/>
      <c r="G92" s="3"/>
      <c r="I92" s="3"/>
      <c r="J92" s="3"/>
      <c r="K92" s="3"/>
      <c r="M92" s="3"/>
      <c r="N92" s="3"/>
      <c r="O92" s="3"/>
      <c r="Q92" s="3"/>
      <c r="R92" s="3"/>
      <c r="S92" s="3"/>
      <c r="T92" s="3"/>
      <c r="U92" s="2">
        <v>54</v>
      </c>
      <c r="V92" s="2">
        <v>1.0082</v>
      </c>
      <c r="W92" s="2">
        <f t="shared" si="5"/>
        <v>4.5999999999999375</v>
      </c>
      <c r="Y92" s="2">
        <v>54</v>
      </c>
      <c r="Z92" s="2">
        <v>1.0102</v>
      </c>
      <c r="AA92" s="2">
        <f t="shared" si="6"/>
        <v>4.6999999999999265</v>
      </c>
      <c r="AC92" s="2">
        <v>54</v>
      </c>
      <c r="AD92" s="2">
        <v>1.3185</v>
      </c>
      <c r="AE92" s="2">
        <f t="shared" si="7"/>
        <v>5.4000000000000714</v>
      </c>
      <c r="AG92" s="2">
        <v>54</v>
      </c>
      <c r="AH92" s="2">
        <v>1.3232999999999999</v>
      </c>
      <c r="AI92" s="2">
        <f t="shared" si="8"/>
        <v>5.3999999999998494</v>
      </c>
      <c r="AJ92" s="3"/>
      <c r="AK92" s="2">
        <v>54</v>
      </c>
      <c r="AL92" s="2">
        <v>1.3192999999999999</v>
      </c>
      <c r="AM92" s="2">
        <f t="shared" si="9"/>
        <v>5.0999999999998824</v>
      </c>
      <c r="AO92" s="3"/>
      <c r="AP92" s="3"/>
      <c r="AQ92" s="3"/>
      <c r="AS92" s="3"/>
      <c r="AT92" s="3"/>
      <c r="AU92" s="3"/>
      <c r="AW92" s="3"/>
      <c r="AX92" s="3"/>
      <c r="AY92" s="3"/>
      <c r="BA92" s="3"/>
      <c r="BB92" s="3"/>
      <c r="BC92" s="3"/>
      <c r="BD92" s="3"/>
      <c r="BE92" s="3"/>
    </row>
    <row r="93" spans="1:57" x14ac:dyDescent="0.25">
      <c r="A93" s="3"/>
      <c r="B93" s="3"/>
      <c r="C93" s="3"/>
      <c r="E93" s="3"/>
      <c r="F93" s="3"/>
      <c r="G93" s="3"/>
      <c r="I93" s="3"/>
      <c r="J93" s="3"/>
      <c r="K93" s="3"/>
      <c r="M93" s="3"/>
      <c r="N93" s="3"/>
      <c r="O93" s="3"/>
      <c r="Q93" s="3"/>
      <c r="R93" s="3"/>
      <c r="S93" s="3"/>
      <c r="T93" s="3"/>
      <c r="U93" s="2">
        <v>55</v>
      </c>
      <c r="V93" s="2">
        <v>1.0128999999999999</v>
      </c>
      <c r="W93" s="2">
        <f t="shared" si="5"/>
        <v>4.6999999999999265</v>
      </c>
      <c r="Y93" s="2">
        <v>55</v>
      </c>
      <c r="Z93" s="2">
        <v>1.0149999999999999</v>
      </c>
      <c r="AA93" s="2">
        <f t="shared" si="6"/>
        <v>4.7999999999999154</v>
      </c>
      <c r="AC93" s="2">
        <v>55</v>
      </c>
      <c r="AD93" s="2">
        <v>1.3234999999999999</v>
      </c>
      <c r="AE93" s="2">
        <f t="shared" si="7"/>
        <v>4.9999999999998934</v>
      </c>
      <c r="AG93" s="2">
        <v>55</v>
      </c>
      <c r="AH93" s="2">
        <v>1.3283</v>
      </c>
      <c r="AI93" s="2">
        <f t="shared" si="8"/>
        <v>5.0000000000001155</v>
      </c>
      <c r="AJ93" s="3"/>
      <c r="AK93" s="2">
        <v>55</v>
      </c>
      <c r="AL93" s="2">
        <v>1.3242</v>
      </c>
      <c r="AM93" s="2">
        <f t="shared" si="9"/>
        <v>4.9000000000001265</v>
      </c>
      <c r="AO93" s="3"/>
      <c r="AP93" s="3"/>
      <c r="AQ93" s="3"/>
      <c r="AS93" s="3"/>
      <c r="AT93" s="3"/>
      <c r="AU93" s="3"/>
      <c r="AW93" s="3"/>
      <c r="AX93" s="3"/>
      <c r="AY93" s="3"/>
      <c r="BA93" s="3"/>
      <c r="BB93" s="3"/>
      <c r="BC93" s="3"/>
      <c r="BD93" s="3"/>
      <c r="BE93" s="3"/>
    </row>
    <row r="94" spans="1:57" x14ac:dyDescent="0.25">
      <c r="A94" s="3"/>
      <c r="B94" s="3"/>
      <c r="C94" s="3"/>
      <c r="E94" s="3"/>
      <c r="F94" s="3"/>
      <c r="G94" s="3"/>
      <c r="I94" s="3"/>
      <c r="J94" s="3"/>
      <c r="K94" s="3"/>
      <c r="M94" s="3"/>
      <c r="N94" s="3"/>
      <c r="O94" s="3"/>
      <c r="Q94" s="3"/>
      <c r="R94" s="3"/>
      <c r="S94" s="3"/>
      <c r="T94" s="3"/>
      <c r="U94" s="2">
        <v>56</v>
      </c>
      <c r="V94" s="2">
        <v>1.0181</v>
      </c>
      <c r="W94" s="2">
        <f t="shared" si="5"/>
        <v>5.2000000000000934</v>
      </c>
      <c r="Y94" s="2">
        <v>56</v>
      </c>
      <c r="Z94" s="2">
        <v>1.02</v>
      </c>
      <c r="AA94" s="2">
        <f t="shared" si="6"/>
        <v>5.0000000000001155</v>
      </c>
      <c r="AC94" s="2">
        <v>56</v>
      </c>
      <c r="AD94" s="2">
        <v>1.3284</v>
      </c>
      <c r="AE94" s="2">
        <f t="shared" si="7"/>
        <v>4.9000000000001265</v>
      </c>
      <c r="AG94" s="2">
        <v>56</v>
      </c>
      <c r="AH94" s="2">
        <v>1.3332999999999999</v>
      </c>
      <c r="AI94" s="2">
        <f t="shared" si="8"/>
        <v>4.9999999999998934</v>
      </c>
      <c r="AJ94" s="3"/>
      <c r="AK94" s="2">
        <v>56</v>
      </c>
      <c r="AL94" s="2">
        <v>1.3291999999999999</v>
      </c>
      <c r="AM94" s="2">
        <f t="shared" si="9"/>
        <v>4.9999999999998934</v>
      </c>
      <c r="AO94" s="3"/>
      <c r="AP94" s="3"/>
      <c r="AQ94" s="3"/>
      <c r="AS94" s="3"/>
      <c r="AT94" s="3"/>
      <c r="AU94" s="3"/>
      <c r="AW94" s="3"/>
      <c r="AX94" s="3"/>
      <c r="AY94" s="3"/>
      <c r="BA94" s="3"/>
      <c r="BB94" s="3"/>
      <c r="BC94" s="3"/>
      <c r="BD94" s="3"/>
      <c r="BE94" s="3"/>
    </row>
    <row r="95" spans="1:57" x14ac:dyDescent="0.25">
      <c r="A95" s="3"/>
      <c r="B95" s="3"/>
      <c r="C95" s="3"/>
      <c r="E95" s="3"/>
      <c r="F95" s="3"/>
      <c r="G95" s="3"/>
      <c r="I95" s="3"/>
      <c r="J95" s="3"/>
      <c r="K95" s="3"/>
      <c r="M95" s="3"/>
      <c r="N95" s="3"/>
      <c r="O95" s="3"/>
      <c r="Q95" s="3"/>
      <c r="R95" s="3"/>
      <c r="S95" s="3"/>
      <c r="T95" s="3"/>
      <c r="U95" s="2">
        <v>57</v>
      </c>
      <c r="V95" s="2">
        <v>1.0230999999999999</v>
      </c>
      <c r="W95" s="2">
        <f t="shared" si="5"/>
        <v>4.9999999999998934</v>
      </c>
      <c r="Y95" s="2">
        <v>57</v>
      </c>
      <c r="Z95" s="2">
        <v>1.0248999999999999</v>
      </c>
      <c r="AA95" s="2">
        <f t="shared" si="6"/>
        <v>4.8999999999999044</v>
      </c>
      <c r="AC95" s="2">
        <v>57</v>
      </c>
      <c r="AD95" s="2">
        <v>1.3332999999999999</v>
      </c>
      <c r="AE95" s="2">
        <f t="shared" si="7"/>
        <v>4.8999999999999044</v>
      </c>
      <c r="AG95" s="2">
        <v>57</v>
      </c>
      <c r="AH95" s="2">
        <v>1.3384</v>
      </c>
      <c r="AI95" s="2">
        <f t="shared" si="8"/>
        <v>5.1000000000001044</v>
      </c>
      <c r="AJ95" s="3"/>
      <c r="AK95" s="2">
        <v>57</v>
      </c>
      <c r="AL95" s="2">
        <v>1.3341000000000001</v>
      </c>
      <c r="AM95" s="2">
        <f t="shared" si="9"/>
        <v>4.9000000000001265</v>
      </c>
      <c r="AO95" s="3"/>
      <c r="AP95" s="3"/>
      <c r="AQ95" s="3"/>
      <c r="AS95" s="3"/>
      <c r="AT95" s="3"/>
      <c r="AU95" s="3"/>
      <c r="AW95" s="3"/>
      <c r="AX95" s="3"/>
      <c r="AY95" s="3"/>
      <c r="BA95" s="3"/>
      <c r="BB95" s="3"/>
      <c r="BC95" s="3"/>
      <c r="BD95" s="3"/>
      <c r="BE95" s="3"/>
    </row>
    <row r="96" spans="1:57" x14ac:dyDescent="0.25">
      <c r="A96" s="3"/>
      <c r="B96" s="3"/>
      <c r="C96" s="3"/>
      <c r="E96" s="3"/>
      <c r="F96" s="3"/>
      <c r="G96" s="3"/>
      <c r="I96" s="3"/>
      <c r="J96" s="3"/>
      <c r="K96" s="3"/>
      <c r="M96" s="3"/>
      <c r="N96" s="3"/>
      <c r="O96" s="3"/>
      <c r="Q96" s="3"/>
      <c r="R96" s="3"/>
      <c r="S96" s="3"/>
      <c r="T96" s="3"/>
      <c r="U96" s="2">
        <v>58</v>
      </c>
      <c r="V96" s="2">
        <v>1.0278</v>
      </c>
      <c r="W96" s="2">
        <f t="shared" si="5"/>
        <v>4.7000000000001485</v>
      </c>
      <c r="Y96" s="2">
        <v>58</v>
      </c>
      <c r="Z96" s="2">
        <v>1.0298</v>
      </c>
      <c r="AA96" s="2">
        <f t="shared" si="6"/>
        <v>4.9000000000001265</v>
      </c>
      <c r="AC96" s="2">
        <v>58</v>
      </c>
      <c r="AD96" s="2">
        <v>1.3382000000000001</v>
      </c>
      <c r="AE96" s="2">
        <f t="shared" si="7"/>
        <v>4.9000000000001265</v>
      </c>
      <c r="AG96" s="2">
        <v>58</v>
      </c>
      <c r="AH96" s="2">
        <v>1.3432999999999999</v>
      </c>
      <c r="AI96" s="2">
        <f t="shared" si="8"/>
        <v>4.8999999999999044</v>
      </c>
      <c r="AJ96" s="3"/>
      <c r="AK96" s="2">
        <v>58</v>
      </c>
      <c r="AL96" s="2">
        <v>1.3391</v>
      </c>
      <c r="AM96" s="2">
        <f t="shared" si="9"/>
        <v>4.9999999999998934</v>
      </c>
      <c r="AO96" s="3"/>
      <c r="AP96" s="3"/>
      <c r="AQ96" s="3"/>
      <c r="AS96" s="3"/>
      <c r="AT96" s="3"/>
      <c r="AU96" s="3"/>
      <c r="AW96" s="3"/>
      <c r="AX96" s="3"/>
      <c r="AY96" s="3"/>
      <c r="BA96" s="3"/>
      <c r="BB96" s="3"/>
      <c r="BC96" s="3"/>
      <c r="BD96" s="3"/>
      <c r="BE96" s="3"/>
    </row>
    <row r="97" spans="1:57" x14ac:dyDescent="0.25">
      <c r="A97" s="3"/>
      <c r="B97" s="3"/>
      <c r="C97" s="3"/>
      <c r="E97" s="3"/>
      <c r="F97" s="3"/>
      <c r="G97" s="3"/>
      <c r="I97" s="3"/>
      <c r="J97" s="3"/>
      <c r="K97" s="3"/>
      <c r="M97" s="3"/>
      <c r="N97" s="3"/>
      <c r="O97" s="3"/>
      <c r="Q97" s="3"/>
      <c r="R97" s="3"/>
      <c r="S97" s="3"/>
      <c r="T97" s="3"/>
      <c r="U97" s="2">
        <v>59</v>
      </c>
      <c r="V97" s="2">
        <v>1.0327999999999999</v>
      </c>
      <c r="W97" s="2">
        <f t="shared" si="5"/>
        <v>4.9999999999998934</v>
      </c>
      <c r="Y97" s="2">
        <v>59</v>
      </c>
      <c r="Z97" s="2">
        <v>1.0347</v>
      </c>
      <c r="AA97" s="2">
        <f t="shared" si="6"/>
        <v>4.8999999999999044</v>
      </c>
      <c r="AC97" s="2">
        <v>59</v>
      </c>
      <c r="AD97" s="2">
        <v>1.3431</v>
      </c>
      <c r="AE97" s="2">
        <f t="shared" si="7"/>
        <v>4.8999999999999044</v>
      </c>
      <c r="AG97" s="2">
        <v>59</v>
      </c>
      <c r="AH97" s="2">
        <v>1.3483000000000001</v>
      </c>
      <c r="AI97" s="2">
        <f t="shared" si="8"/>
        <v>5.0000000000001155</v>
      </c>
      <c r="AJ97" s="3"/>
      <c r="AK97" s="2">
        <v>59</v>
      </c>
      <c r="AL97" s="2">
        <v>1.3440000000000001</v>
      </c>
      <c r="AM97" s="2">
        <f t="shared" si="9"/>
        <v>4.9000000000001265</v>
      </c>
      <c r="AO97" s="3"/>
      <c r="AP97" s="3"/>
      <c r="AQ97" s="3"/>
      <c r="AS97" s="3"/>
      <c r="AT97" s="3"/>
      <c r="AU97" s="3"/>
      <c r="AW97" s="3"/>
      <c r="AX97" s="3"/>
      <c r="AY97" s="3"/>
      <c r="BA97" s="3"/>
      <c r="BB97" s="3"/>
      <c r="BC97" s="3"/>
      <c r="BD97" s="3"/>
      <c r="BE97" s="3"/>
    </row>
    <row r="98" spans="1:57" x14ac:dyDescent="0.25">
      <c r="A98" s="3"/>
      <c r="B98" s="3"/>
      <c r="C98" s="3"/>
      <c r="E98" s="3"/>
      <c r="F98" s="3"/>
      <c r="G98" s="3"/>
      <c r="I98" s="3"/>
      <c r="J98" s="3"/>
      <c r="K98" s="3"/>
      <c r="M98" s="3"/>
      <c r="N98" s="3"/>
      <c r="O98" s="3"/>
      <c r="Q98" s="3"/>
      <c r="R98" s="3"/>
      <c r="S98" s="3"/>
      <c r="T98" s="3"/>
      <c r="U98" s="2" t="s">
        <v>73</v>
      </c>
      <c r="V98" s="2">
        <v>1.0378000000000001</v>
      </c>
      <c r="W98" s="2">
        <f t="shared" si="5"/>
        <v>5.0000000000001155</v>
      </c>
      <c r="Y98" s="2" t="s">
        <v>73</v>
      </c>
      <c r="Z98" s="2">
        <v>1.0396000000000001</v>
      </c>
      <c r="AA98" s="2">
        <f t="shared" si="6"/>
        <v>4.9000000000001265</v>
      </c>
      <c r="AC98" s="2" t="s">
        <v>73</v>
      </c>
      <c r="AD98" s="2">
        <v>1.3481000000000001</v>
      </c>
      <c r="AE98" s="2">
        <f t="shared" si="7"/>
        <v>5.0000000000001155</v>
      </c>
      <c r="AG98" s="2" t="s">
        <v>73</v>
      </c>
      <c r="AH98" s="2">
        <v>1.3533999999999999</v>
      </c>
      <c r="AI98" s="2">
        <f t="shared" si="8"/>
        <v>5.0999999999998824</v>
      </c>
      <c r="AJ98" s="3"/>
      <c r="AK98" s="2" t="s">
        <v>73</v>
      </c>
      <c r="AL98" s="2">
        <v>1.349</v>
      </c>
      <c r="AM98" s="2">
        <f t="shared" si="9"/>
        <v>4.9999999999998934</v>
      </c>
      <c r="AO98" s="3"/>
      <c r="AP98" s="3"/>
      <c r="AQ98" s="3"/>
      <c r="AS98" s="3"/>
      <c r="AT98" s="3"/>
      <c r="AU98" s="3"/>
      <c r="AW98" s="3"/>
      <c r="AX98" s="3"/>
      <c r="AY98" s="3"/>
      <c r="BA98" s="3"/>
      <c r="BB98" s="3"/>
      <c r="BC98" s="3"/>
      <c r="BD98" s="3"/>
      <c r="BE98" s="3"/>
    </row>
    <row r="99" spans="1:57" x14ac:dyDescent="0.25">
      <c r="A99" s="3"/>
      <c r="B99" s="3"/>
      <c r="C99" s="3"/>
      <c r="E99" s="3"/>
      <c r="F99" s="3"/>
      <c r="G99" s="3"/>
      <c r="I99" s="3"/>
      <c r="J99" s="3"/>
      <c r="K99" s="3"/>
      <c r="M99" s="3"/>
      <c r="N99" s="3"/>
      <c r="O99" s="3"/>
      <c r="Q99" s="3"/>
      <c r="R99" s="3"/>
      <c r="S99" s="3"/>
      <c r="T99" s="3"/>
      <c r="U99" s="2" t="s">
        <v>74</v>
      </c>
      <c r="V99" s="2">
        <v>1.0427</v>
      </c>
      <c r="W99" s="2">
        <f t="shared" si="5"/>
        <v>4.8999999999999044</v>
      </c>
      <c r="Y99" s="2" t="s">
        <v>74</v>
      </c>
      <c r="Z99" s="2">
        <v>1.0444</v>
      </c>
      <c r="AA99" s="2">
        <f t="shared" si="6"/>
        <v>4.7999999999999154</v>
      </c>
      <c r="AC99" s="2" t="s">
        <v>74</v>
      </c>
      <c r="AD99" s="2">
        <v>1.353</v>
      </c>
      <c r="AE99" s="2">
        <f t="shared" si="7"/>
        <v>4.8999999999999044</v>
      </c>
      <c r="AG99" s="2" t="s">
        <v>74</v>
      </c>
      <c r="AH99" s="2">
        <v>1.3584000000000001</v>
      </c>
      <c r="AI99" s="2">
        <f t="shared" si="8"/>
        <v>5.0000000000001155</v>
      </c>
      <c r="AJ99" s="3"/>
      <c r="AK99" s="2" t="s">
        <v>74</v>
      </c>
      <c r="AL99" s="2">
        <v>1.3539000000000001</v>
      </c>
      <c r="AM99" s="2">
        <f t="shared" si="9"/>
        <v>4.9000000000001265</v>
      </c>
      <c r="AO99" s="3"/>
      <c r="AP99" s="3"/>
      <c r="AQ99" s="3"/>
      <c r="AS99" s="3"/>
      <c r="AT99" s="3"/>
      <c r="AU99" s="3"/>
      <c r="AW99" s="3"/>
      <c r="AX99" s="3"/>
      <c r="AY99" s="3"/>
      <c r="BA99" s="3"/>
      <c r="BB99" s="3"/>
      <c r="BC99" s="3"/>
      <c r="BD99" s="3"/>
      <c r="BE99" s="3"/>
    </row>
    <row r="100" spans="1:57" x14ac:dyDescent="0.25">
      <c r="A100" s="3"/>
      <c r="B100" s="3"/>
      <c r="C100" s="3"/>
      <c r="E100" s="3"/>
      <c r="F100" s="3"/>
      <c r="G100" s="3"/>
      <c r="I100" s="3"/>
      <c r="J100" s="3"/>
      <c r="K100" s="3"/>
      <c r="M100" s="3"/>
      <c r="N100" s="3"/>
      <c r="O100" s="3"/>
      <c r="Q100" s="3"/>
      <c r="R100" s="3"/>
      <c r="S100" s="3"/>
      <c r="T100" s="3"/>
      <c r="U100" s="2" t="s">
        <v>75</v>
      </c>
      <c r="V100" s="2">
        <v>1.0474000000000001</v>
      </c>
      <c r="W100" s="2">
        <f t="shared" si="5"/>
        <v>4.7000000000001485</v>
      </c>
      <c r="Y100" s="2" t="s">
        <v>75</v>
      </c>
      <c r="Z100" s="2">
        <v>1.0491999999999999</v>
      </c>
      <c r="AA100" s="2">
        <f t="shared" si="6"/>
        <v>4.7999999999999154</v>
      </c>
      <c r="AC100" s="2" t="s">
        <v>75</v>
      </c>
      <c r="AD100" s="2">
        <v>1.3584000000000001</v>
      </c>
      <c r="AE100" s="2">
        <f t="shared" si="7"/>
        <v>5.4000000000000714</v>
      </c>
      <c r="AG100" s="2" t="s">
        <v>75</v>
      </c>
      <c r="AH100" s="2">
        <v>1.3636999999999999</v>
      </c>
      <c r="AI100" s="2">
        <f t="shared" si="8"/>
        <v>5.2999999999998604</v>
      </c>
      <c r="AJ100" s="3"/>
      <c r="AK100" s="2" t="s">
        <v>75</v>
      </c>
      <c r="AL100" s="2">
        <v>1.3589</v>
      </c>
      <c r="AM100" s="2">
        <f t="shared" si="9"/>
        <v>4.9999999999998934</v>
      </c>
      <c r="AO100" s="3"/>
      <c r="AP100" s="3"/>
      <c r="AQ100" s="3"/>
      <c r="AS100" s="3"/>
      <c r="AT100" s="3"/>
      <c r="AU100" s="3"/>
      <c r="AW100" s="3"/>
      <c r="AX100" s="3"/>
      <c r="AY100" s="3"/>
      <c r="BA100" s="3"/>
      <c r="BB100" s="3"/>
      <c r="BC100" s="3"/>
      <c r="BD100" s="3"/>
      <c r="BE100" s="3"/>
    </row>
    <row r="101" spans="1:57" x14ac:dyDescent="0.25">
      <c r="A101" s="3"/>
      <c r="B101" s="3"/>
      <c r="C101" s="3"/>
      <c r="E101" s="3"/>
      <c r="F101" s="3"/>
      <c r="G101" s="3"/>
      <c r="I101" s="3"/>
      <c r="J101" s="3"/>
      <c r="K101" s="3"/>
      <c r="M101" s="3"/>
      <c r="N101" s="3"/>
      <c r="O101" s="3"/>
      <c r="Q101" s="3"/>
      <c r="R101" s="3"/>
      <c r="S101" s="3"/>
      <c r="T101" s="3"/>
      <c r="U101" s="2" t="s">
        <v>76</v>
      </c>
      <c r="V101" s="2">
        <v>1.0525</v>
      </c>
      <c r="W101" s="2">
        <f t="shared" si="5"/>
        <v>5.0999999999998824</v>
      </c>
      <c r="Y101" s="2" t="s">
        <v>76</v>
      </c>
      <c r="Z101" s="2">
        <v>1.0539000000000001</v>
      </c>
      <c r="AA101" s="2">
        <f t="shared" si="6"/>
        <v>4.7000000000001485</v>
      </c>
      <c r="AC101" s="2" t="s">
        <v>76</v>
      </c>
      <c r="AD101" s="2">
        <v>1.3633999999999999</v>
      </c>
      <c r="AE101" s="2">
        <f t="shared" si="7"/>
        <v>4.9999999999998934</v>
      </c>
      <c r="AG101" s="2" t="s">
        <v>76</v>
      </c>
      <c r="AH101" s="2">
        <v>1.3688</v>
      </c>
      <c r="AI101" s="2">
        <f t="shared" si="8"/>
        <v>5.1000000000001044</v>
      </c>
      <c r="AJ101" s="3"/>
      <c r="AK101" s="2" t="s">
        <v>76</v>
      </c>
      <c r="AL101" s="2">
        <v>1.3638999999999999</v>
      </c>
      <c r="AM101" s="2">
        <f t="shared" si="9"/>
        <v>4.9999999999998934</v>
      </c>
      <c r="AO101" s="3"/>
      <c r="AP101" s="3"/>
      <c r="AQ101" s="3"/>
      <c r="AS101" s="3"/>
      <c r="AT101" s="3"/>
      <c r="AU101" s="3"/>
      <c r="AW101" s="3"/>
      <c r="AX101" s="3"/>
      <c r="AY101" s="3"/>
      <c r="BA101" s="3"/>
      <c r="BB101" s="3"/>
      <c r="BC101" s="3"/>
      <c r="BD101" s="3"/>
      <c r="BE101" s="3"/>
    </row>
    <row r="102" spans="1:57" x14ac:dyDescent="0.25">
      <c r="A102" s="3"/>
      <c r="B102" s="3"/>
      <c r="C102" s="3"/>
      <c r="E102" s="3"/>
      <c r="F102" s="3"/>
      <c r="G102" s="3"/>
      <c r="I102" s="3"/>
      <c r="J102" s="3"/>
      <c r="K102" s="3"/>
      <c r="M102" s="3"/>
      <c r="N102" s="3"/>
      <c r="O102" s="3"/>
      <c r="Q102" s="3"/>
      <c r="R102" s="3"/>
      <c r="S102" s="3"/>
      <c r="T102" s="3"/>
      <c r="U102" s="2" t="s">
        <v>77</v>
      </c>
      <c r="V102" s="2">
        <v>1.0575000000000001</v>
      </c>
      <c r="W102" s="2">
        <f t="shared" si="5"/>
        <v>5.0000000000001155</v>
      </c>
      <c r="Y102" s="2" t="s">
        <v>77</v>
      </c>
      <c r="Z102" s="2">
        <v>1.0589</v>
      </c>
      <c r="AA102" s="2">
        <f t="shared" si="6"/>
        <v>4.9999999999998934</v>
      </c>
      <c r="AC102" s="2" t="s">
        <v>77</v>
      </c>
      <c r="AD102" s="2">
        <v>1.3683000000000001</v>
      </c>
      <c r="AE102" s="2">
        <f t="shared" si="7"/>
        <v>4.9000000000001265</v>
      </c>
      <c r="AG102" s="2" t="s">
        <v>77</v>
      </c>
      <c r="AH102" s="2">
        <v>1.3738999999999999</v>
      </c>
      <c r="AI102" s="2">
        <f t="shared" si="8"/>
        <v>5.0999999999998824</v>
      </c>
      <c r="AJ102" s="3"/>
      <c r="AK102" s="2" t="s">
        <v>77</v>
      </c>
      <c r="AL102" s="2">
        <v>1.3689</v>
      </c>
      <c r="AM102" s="2">
        <f t="shared" si="9"/>
        <v>5.0000000000001155</v>
      </c>
      <c r="AO102" s="3"/>
      <c r="AP102" s="3"/>
      <c r="AQ102" s="3"/>
      <c r="AS102" s="3"/>
      <c r="AT102" s="3"/>
      <c r="AU102" s="3"/>
      <c r="AW102" s="3"/>
      <c r="AX102" s="3"/>
      <c r="AY102" s="3"/>
      <c r="BA102" s="3"/>
      <c r="BB102" s="3"/>
      <c r="BC102" s="3"/>
      <c r="BD102" s="3"/>
      <c r="BE102" s="3"/>
    </row>
    <row r="103" spans="1:57" x14ac:dyDescent="0.25">
      <c r="A103" s="3"/>
      <c r="B103" s="3"/>
      <c r="C103" s="3"/>
      <c r="E103" s="3"/>
      <c r="F103" s="3"/>
      <c r="G103" s="3"/>
      <c r="I103" s="3"/>
      <c r="J103" s="3"/>
      <c r="K103" s="3"/>
      <c r="M103" s="3"/>
      <c r="N103" s="3"/>
      <c r="O103" s="3"/>
      <c r="Q103" s="3"/>
      <c r="R103" s="3"/>
      <c r="S103" s="3"/>
      <c r="T103" s="3"/>
      <c r="U103" s="2" t="s">
        <v>78</v>
      </c>
      <c r="V103" s="2">
        <v>1.0624</v>
      </c>
      <c r="W103" s="2">
        <f t="shared" si="5"/>
        <v>4.8999999999999044</v>
      </c>
      <c r="Y103" s="2" t="s">
        <v>78</v>
      </c>
      <c r="Z103" s="2">
        <v>1.0638000000000001</v>
      </c>
      <c r="AA103" s="2">
        <f t="shared" si="6"/>
        <v>4.9000000000001265</v>
      </c>
      <c r="AC103" s="2" t="s">
        <v>78</v>
      </c>
      <c r="AD103" s="2">
        <v>1.3733</v>
      </c>
      <c r="AE103" s="2">
        <f t="shared" si="7"/>
        <v>4.9999999999998934</v>
      </c>
      <c r="AG103" s="2" t="s">
        <v>78</v>
      </c>
      <c r="AH103" s="2">
        <v>1.3791</v>
      </c>
      <c r="AI103" s="2">
        <f t="shared" si="8"/>
        <v>5.2000000000000934</v>
      </c>
      <c r="AJ103" s="3"/>
      <c r="AK103" s="2" t="s">
        <v>78</v>
      </c>
      <c r="AL103" s="2">
        <v>1.3737999999999999</v>
      </c>
      <c r="AM103" s="2">
        <f t="shared" si="9"/>
        <v>4.8999999999999044</v>
      </c>
      <c r="AO103" s="3"/>
      <c r="AP103" s="3"/>
      <c r="AQ103" s="3"/>
      <c r="AS103" s="3"/>
      <c r="AT103" s="3"/>
      <c r="AU103" s="3"/>
      <c r="AW103" s="3"/>
      <c r="AX103" s="3"/>
      <c r="AY103" s="3"/>
      <c r="BA103" s="3"/>
      <c r="BB103" s="3"/>
      <c r="BC103" s="3"/>
      <c r="BD103" s="3"/>
      <c r="BE103" s="3"/>
    </row>
    <row r="104" spans="1:57" x14ac:dyDescent="0.25">
      <c r="A104" s="3"/>
      <c r="B104" s="3"/>
      <c r="C104" s="3"/>
      <c r="E104" s="3"/>
      <c r="F104" s="3"/>
      <c r="G104" s="3"/>
      <c r="I104" s="3"/>
      <c r="J104" s="3"/>
      <c r="K104" s="3"/>
      <c r="M104" s="3"/>
      <c r="N104" s="3"/>
      <c r="O104" s="3"/>
      <c r="Q104" s="3"/>
      <c r="R104" s="3"/>
      <c r="S104" s="3"/>
      <c r="T104" s="3"/>
      <c r="U104" s="2">
        <v>60</v>
      </c>
      <c r="V104" s="2">
        <v>1.0668</v>
      </c>
      <c r="W104" s="2">
        <f t="shared" si="5"/>
        <v>4.3999999999999595</v>
      </c>
      <c r="Y104" s="2">
        <v>60</v>
      </c>
      <c r="Z104" s="2">
        <v>1.0699000000000001</v>
      </c>
      <c r="AA104" s="2">
        <f t="shared" si="6"/>
        <v>6.0999999999999943</v>
      </c>
      <c r="AC104" s="2">
        <v>60</v>
      </c>
      <c r="AD104" s="2">
        <v>1.3771</v>
      </c>
      <c r="AE104" s="2">
        <f t="shared" si="7"/>
        <v>3.8000000000000256</v>
      </c>
      <c r="AG104" s="2">
        <v>60</v>
      </c>
      <c r="AH104" s="2">
        <v>1.3823000000000001</v>
      </c>
      <c r="AI104" s="2">
        <f t="shared" si="8"/>
        <v>3.2000000000000917</v>
      </c>
      <c r="AJ104" s="3"/>
      <c r="AK104" s="2">
        <v>60</v>
      </c>
      <c r="AL104" s="2">
        <v>1.3797999999999999</v>
      </c>
      <c r="AM104" s="2">
        <f t="shared" si="9"/>
        <v>6.0000000000000053</v>
      </c>
      <c r="AO104" s="3"/>
      <c r="AP104" s="3"/>
      <c r="AQ104" s="3"/>
      <c r="AS104" s="3"/>
      <c r="AT104" s="3"/>
      <c r="AU104" s="3"/>
      <c r="AW104" s="3"/>
      <c r="AX104" s="3"/>
      <c r="AY104" s="3"/>
      <c r="BA104" s="3"/>
      <c r="BB104" s="3"/>
      <c r="BC104" s="3"/>
      <c r="BD104" s="3"/>
      <c r="BE104" s="3"/>
    </row>
    <row r="105" spans="1:57" x14ac:dyDescent="0.25">
      <c r="A105" s="3"/>
      <c r="B105" s="3"/>
      <c r="C105" s="3"/>
      <c r="E105" s="3"/>
      <c r="F105" s="3"/>
      <c r="G105" s="3"/>
      <c r="I105" s="3"/>
      <c r="J105" s="3"/>
      <c r="K105" s="3"/>
      <c r="M105" s="3"/>
      <c r="N105" s="3"/>
      <c r="O105" s="3"/>
      <c r="Q105" s="3"/>
      <c r="R105" s="3"/>
      <c r="S105" s="3"/>
      <c r="T105" s="3"/>
      <c r="U105" s="2">
        <v>61</v>
      </c>
      <c r="V105" s="2">
        <v>1.0717000000000001</v>
      </c>
      <c r="W105" s="2">
        <f t="shared" si="5"/>
        <v>4.9000000000001265</v>
      </c>
      <c r="Y105" s="2">
        <v>61</v>
      </c>
      <c r="Z105" s="2">
        <v>1.0747</v>
      </c>
      <c r="AA105" s="2">
        <f t="shared" si="6"/>
        <v>4.7999999999999154</v>
      </c>
      <c r="AC105" s="2">
        <v>61</v>
      </c>
      <c r="AD105" s="2">
        <v>1.3817999999999999</v>
      </c>
      <c r="AE105" s="2">
        <f t="shared" si="7"/>
        <v>4.6999999999999265</v>
      </c>
      <c r="AG105" s="2">
        <v>61</v>
      </c>
      <c r="AH105" s="2">
        <v>1.3866000000000001</v>
      </c>
      <c r="AI105" s="2">
        <f t="shared" si="8"/>
        <v>4.2999999999999705</v>
      </c>
      <c r="AJ105" s="3"/>
      <c r="AK105" s="2">
        <v>61</v>
      </c>
      <c r="AL105" s="2">
        <v>1.3847</v>
      </c>
      <c r="AM105" s="2">
        <f t="shared" si="9"/>
        <v>4.9000000000001265</v>
      </c>
      <c r="AO105" s="3"/>
      <c r="AP105" s="3"/>
      <c r="AQ105" s="3"/>
      <c r="AS105" s="3"/>
      <c r="AT105" s="3"/>
      <c r="AU105" s="3"/>
      <c r="AW105" s="3"/>
      <c r="AX105" s="3"/>
      <c r="AY105" s="3"/>
      <c r="BA105" s="3"/>
      <c r="BB105" s="3"/>
      <c r="BC105" s="3"/>
      <c r="BD105" s="3"/>
      <c r="BE105" s="3"/>
    </row>
    <row r="106" spans="1:57" x14ac:dyDescent="0.25">
      <c r="A106" s="3"/>
      <c r="B106" s="3"/>
      <c r="C106" s="3"/>
      <c r="E106" s="3"/>
      <c r="F106" s="3"/>
      <c r="G106" s="3"/>
      <c r="I106" s="3"/>
      <c r="J106" s="3"/>
      <c r="K106" s="3"/>
      <c r="M106" s="3"/>
      <c r="N106" s="3"/>
      <c r="O106" s="3"/>
      <c r="Q106" s="3"/>
      <c r="R106" s="3"/>
      <c r="S106" s="3"/>
      <c r="T106" s="3"/>
      <c r="U106" s="2">
        <v>62</v>
      </c>
      <c r="V106" s="2">
        <v>1.0767</v>
      </c>
      <c r="W106" s="2">
        <f t="shared" si="5"/>
        <v>4.9999999999998934</v>
      </c>
      <c r="Y106" s="2">
        <v>62</v>
      </c>
      <c r="Z106" s="2">
        <v>1.0797000000000001</v>
      </c>
      <c r="AA106" s="2">
        <f t="shared" si="6"/>
        <v>5.0000000000001155</v>
      </c>
      <c r="AC106" s="2">
        <v>62</v>
      </c>
      <c r="AD106" s="2">
        <v>1.3867</v>
      </c>
      <c r="AE106" s="2">
        <f t="shared" si="7"/>
        <v>4.9000000000001265</v>
      </c>
      <c r="AG106" s="2">
        <v>62</v>
      </c>
      <c r="AH106" s="2">
        <v>1.3915999999999999</v>
      </c>
      <c r="AI106" s="2">
        <f t="shared" si="8"/>
        <v>4.9999999999998934</v>
      </c>
      <c r="AJ106" s="3"/>
      <c r="AK106" s="2">
        <v>62</v>
      </c>
      <c r="AL106" s="2">
        <v>1.3895999999999999</v>
      </c>
      <c r="AM106" s="2">
        <f t="shared" si="9"/>
        <v>4.8999999999999044</v>
      </c>
      <c r="AO106" s="3"/>
      <c r="AP106" s="3"/>
      <c r="AQ106" s="3"/>
      <c r="AS106" s="3"/>
      <c r="AT106" s="3"/>
      <c r="AU106" s="3"/>
      <c r="AW106" s="3"/>
      <c r="AX106" s="3"/>
      <c r="AY106" s="3"/>
      <c r="BA106" s="3"/>
      <c r="BB106" s="3"/>
      <c r="BC106" s="3"/>
      <c r="BD106" s="3"/>
      <c r="BE106" s="3"/>
    </row>
    <row r="107" spans="1:57" x14ac:dyDescent="0.25">
      <c r="A107" s="3"/>
      <c r="B107" s="3"/>
      <c r="C107" s="3"/>
      <c r="E107" s="3"/>
      <c r="F107" s="3"/>
      <c r="G107" s="3"/>
      <c r="I107" s="3"/>
      <c r="J107" s="3"/>
      <c r="K107" s="3"/>
      <c r="M107" s="3"/>
      <c r="N107" s="3"/>
      <c r="O107" s="3"/>
      <c r="Q107" s="3"/>
      <c r="R107" s="3"/>
      <c r="S107" s="3"/>
      <c r="T107" s="3"/>
      <c r="U107" s="2">
        <v>63</v>
      </c>
      <c r="V107" s="2">
        <v>1.0814999999999999</v>
      </c>
      <c r="W107" s="2">
        <f t="shared" si="5"/>
        <v>4.7999999999999154</v>
      </c>
      <c r="Y107" s="2">
        <v>63</v>
      </c>
      <c r="Z107" s="2">
        <v>1.0847</v>
      </c>
      <c r="AA107" s="2">
        <f t="shared" si="6"/>
        <v>4.9999999999998934</v>
      </c>
      <c r="AC107" s="2">
        <v>63</v>
      </c>
      <c r="AD107" s="2">
        <v>1.3915999999999999</v>
      </c>
      <c r="AE107" s="2">
        <f t="shared" si="7"/>
        <v>4.8999999999999044</v>
      </c>
      <c r="AG107" s="2">
        <v>63</v>
      </c>
      <c r="AH107" s="2">
        <v>1.3966000000000001</v>
      </c>
      <c r="AI107" s="2">
        <f t="shared" si="8"/>
        <v>5.0000000000001155</v>
      </c>
      <c r="AJ107" s="3"/>
      <c r="AK107" s="2">
        <v>63</v>
      </c>
      <c r="AL107" s="2">
        <v>1.3945000000000001</v>
      </c>
      <c r="AM107" s="2">
        <f t="shared" si="9"/>
        <v>4.9000000000001265</v>
      </c>
      <c r="AO107" s="3"/>
      <c r="AP107" s="3"/>
      <c r="AQ107" s="3"/>
      <c r="AS107" s="3"/>
      <c r="AT107" s="3"/>
      <c r="AU107" s="3"/>
      <c r="AW107" s="3"/>
      <c r="AX107" s="3"/>
      <c r="AY107" s="3"/>
      <c r="BA107" s="3"/>
      <c r="BB107" s="3"/>
      <c r="BC107" s="3"/>
      <c r="BD107" s="3"/>
      <c r="BE107" s="3"/>
    </row>
    <row r="108" spans="1:57" x14ac:dyDescent="0.25">
      <c r="A108" s="3"/>
      <c r="B108" s="3"/>
      <c r="C108" s="3"/>
      <c r="E108" s="3"/>
      <c r="F108" s="3"/>
      <c r="G108" s="3"/>
      <c r="I108" s="3"/>
      <c r="J108" s="3"/>
      <c r="K108" s="3"/>
      <c r="M108" s="3"/>
      <c r="N108" s="3"/>
      <c r="O108" s="3"/>
      <c r="Q108" s="3"/>
      <c r="R108" s="3"/>
      <c r="S108" s="3"/>
      <c r="T108" s="3"/>
      <c r="U108" s="2">
        <v>64</v>
      </c>
      <c r="V108" s="2">
        <v>1.0864</v>
      </c>
      <c r="W108" s="2">
        <f t="shared" si="5"/>
        <v>4.9000000000001265</v>
      </c>
      <c r="Y108" s="2">
        <v>64</v>
      </c>
      <c r="Z108" s="2">
        <v>1.0893999999999999</v>
      </c>
      <c r="AA108" s="2">
        <f t="shared" si="6"/>
        <v>4.6999999999999265</v>
      </c>
      <c r="AC108" s="2">
        <v>64</v>
      </c>
      <c r="AD108" s="2">
        <v>1.3971</v>
      </c>
      <c r="AE108" s="2">
        <f t="shared" si="7"/>
        <v>5.5000000000000604</v>
      </c>
      <c r="AG108" s="2">
        <v>64</v>
      </c>
      <c r="AH108" s="2">
        <v>1.4019999999999999</v>
      </c>
      <c r="AI108" s="2">
        <f t="shared" si="8"/>
        <v>5.3999999999998494</v>
      </c>
      <c r="AJ108" s="3"/>
      <c r="AK108" s="2">
        <v>64</v>
      </c>
      <c r="AL108" s="2">
        <v>1.3996</v>
      </c>
      <c r="AM108" s="2">
        <f t="shared" si="9"/>
        <v>5.0999999999998824</v>
      </c>
      <c r="AO108" s="3"/>
      <c r="AP108" s="3"/>
      <c r="AQ108" s="3"/>
      <c r="AS108" s="3"/>
      <c r="AT108" s="3"/>
      <c r="AU108" s="3"/>
      <c r="AW108" s="3"/>
      <c r="AX108" s="3"/>
      <c r="AY108" s="3"/>
      <c r="BA108" s="3"/>
      <c r="BB108" s="3"/>
      <c r="BC108" s="3"/>
      <c r="BD108" s="3"/>
      <c r="BE108" s="3"/>
    </row>
    <row r="109" spans="1:57" x14ac:dyDescent="0.25">
      <c r="A109" s="3"/>
      <c r="B109" s="3"/>
      <c r="C109" s="3"/>
      <c r="E109" s="3"/>
      <c r="F109" s="3"/>
      <c r="G109" s="3"/>
      <c r="I109" s="3"/>
      <c r="J109" s="3"/>
      <c r="K109" s="3"/>
      <c r="M109" s="3"/>
      <c r="N109" s="3"/>
      <c r="O109" s="3"/>
      <c r="Q109" s="3"/>
      <c r="R109" s="3"/>
      <c r="S109" s="3"/>
      <c r="T109" s="3"/>
      <c r="U109" s="2">
        <v>65</v>
      </c>
      <c r="V109" s="2">
        <v>1.0911999999999999</v>
      </c>
      <c r="W109" s="2">
        <f t="shared" si="5"/>
        <v>4.7999999999999154</v>
      </c>
      <c r="Y109" s="2">
        <v>65</v>
      </c>
      <c r="Z109" s="2">
        <v>1.0942000000000001</v>
      </c>
      <c r="AA109" s="2">
        <f t="shared" si="6"/>
        <v>4.8000000000001375</v>
      </c>
      <c r="AC109" s="2">
        <v>65</v>
      </c>
      <c r="AD109" s="2">
        <v>1.4019999999999999</v>
      </c>
      <c r="AE109" s="2">
        <f t="shared" si="7"/>
        <v>4.8999999999999044</v>
      </c>
      <c r="AG109" s="2">
        <v>65</v>
      </c>
      <c r="AH109" s="2">
        <v>1.4071</v>
      </c>
      <c r="AI109" s="2">
        <f t="shared" si="8"/>
        <v>5.1000000000001044</v>
      </c>
      <c r="AJ109" s="3"/>
      <c r="AK109" s="2">
        <v>65</v>
      </c>
      <c r="AL109" s="2">
        <v>1.4046000000000001</v>
      </c>
      <c r="AM109" s="2">
        <f t="shared" si="9"/>
        <v>5.0000000000001155</v>
      </c>
      <c r="AO109" s="3"/>
      <c r="AP109" s="3"/>
      <c r="AQ109" s="3"/>
      <c r="AS109" s="3"/>
      <c r="AT109" s="3"/>
      <c r="AU109" s="3"/>
      <c r="AW109" s="3"/>
      <c r="AX109" s="3"/>
      <c r="AY109" s="3"/>
      <c r="BA109" s="3"/>
      <c r="BB109" s="3"/>
      <c r="BC109" s="3"/>
      <c r="BD109" s="3"/>
      <c r="BE109" s="3"/>
    </row>
    <row r="110" spans="1:57" x14ac:dyDescent="0.25">
      <c r="A110" s="3"/>
      <c r="B110" s="3"/>
      <c r="C110" s="3"/>
      <c r="E110" s="3"/>
      <c r="F110" s="3"/>
      <c r="G110" s="3"/>
      <c r="I110" s="3"/>
      <c r="J110" s="3"/>
      <c r="K110" s="3"/>
      <c r="M110" s="3"/>
      <c r="N110" s="3"/>
      <c r="O110" s="3"/>
      <c r="Q110" s="3"/>
      <c r="R110" s="3"/>
      <c r="S110" s="3"/>
      <c r="T110" s="3"/>
      <c r="U110" s="2">
        <v>66</v>
      </c>
      <c r="V110" s="2">
        <v>1.0964</v>
      </c>
      <c r="W110" s="2">
        <f t="shared" si="5"/>
        <v>5.2000000000000934</v>
      </c>
      <c r="Y110" s="2">
        <v>66</v>
      </c>
      <c r="Z110" s="2">
        <v>1.0991</v>
      </c>
      <c r="AA110" s="2">
        <f t="shared" si="6"/>
        <v>4.8999999999999044</v>
      </c>
      <c r="AC110" s="2">
        <v>66</v>
      </c>
      <c r="AD110" s="2">
        <v>1.407</v>
      </c>
      <c r="AE110" s="2">
        <f t="shared" si="7"/>
        <v>5.0000000000001155</v>
      </c>
      <c r="AG110" s="2">
        <v>66</v>
      </c>
      <c r="AH110" s="2">
        <v>1.4120999999999999</v>
      </c>
      <c r="AI110" s="2">
        <f t="shared" si="8"/>
        <v>4.9999999999998934</v>
      </c>
      <c r="AJ110" s="3"/>
      <c r="AK110" s="2">
        <v>66</v>
      </c>
      <c r="AL110" s="2">
        <v>1.4096</v>
      </c>
      <c r="AM110" s="2">
        <f t="shared" si="9"/>
        <v>4.9999999999998934</v>
      </c>
      <c r="AO110" s="3"/>
      <c r="AP110" s="3"/>
      <c r="AQ110" s="3"/>
      <c r="AS110" s="3"/>
      <c r="AT110" s="3"/>
      <c r="AU110" s="3"/>
      <c r="AW110" s="3"/>
      <c r="AX110" s="3"/>
      <c r="AY110" s="3"/>
      <c r="BA110" s="3"/>
      <c r="BB110" s="3"/>
      <c r="BC110" s="3"/>
      <c r="BD110" s="3"/>
      <c r="BE110" s="3"/>
    </row>
    <row r="111" spans="1:57" x14ac:dyDescent="0.25">
      <c r="A111" s="3"/>
      <c r="B111" s="3"/>
      <c r="C111" s="3"/>
      <c r="E111" s="3"/>
      <c r="F111" s="3"/>
      <c r="G111" s="3"/>
      <c r="I111" s="3"/>
      <c r="J111" s="3"/>
      <c r="K111" s="3"/>
      <c r="M111" s="3"/>
      <c r="N111" s="3"/>
      <c r="O111" s="3"/>
      <c r="Q111" s="3"/>
      <c r="R111" s="3"/>
      <c r="S111" s="3"/>
      <c r="T111" s="3"/>
      <c r="U111" s="2">
        <v>67</v>
      </c>
      <c r="V111" s="2">
        <v>1.1011</v>
      </c>
      <c r="W111" s="2">
        <f t="shared" si="5"/>
        <v>4.6999999999999265</v>
      </c>
      <c r="Y111" s="2">
        <v>67</v>
      </c>
      <c r="Z111" s="2">
        <v>1.1039000000000001</v>
      </c>
      <c r="AA111" s="2">
        <f t="shared" si="6"/>
        <v>4.8000000000001375</v>
      </c>
      <c r="AC111" s="2">
        <v>67</v>
      </c>
      <c r="AD111" s="2">
        <v>1.4118999999999999</v>
      </c>
      <c r="AE111" s="2">
        <f t="shared" si="7"/>
        <v>4.8999999999999044</v>
      </c>
      <c r="AG111" s="2">
        <v>67</v>
      </c>
      <c r="AH111" s="2">
        <v>1.4171</v>
      </c>
      <c r="AI111" s="2">
        <f t="shared" si="8"/>
        <v>5.0000000000001155</v>
      </c>
      <c r="AJ111" s="3"/>
      <c r="AK111" s="2">
        <v>67</v>
      </c>
      <c r="AL111" s="2">
        <v>1.4145000000000001</v>
      </c>
      <c r="AM111" s="2">
        <f t="shared" si="9"/>
        <v>4.9000000000001265</v>
      </c>
      <c r="AO111" s="3"/>
      <c r="AP111" s="3"/>
      <c r="AQ111" s="3"/>
      <c r="AS111" s="3"/>
      <c r="AT111" s="3"/>
      <c r="AU111" s="3"/>
      <c r="AW111" s="3"/>
      <c r="AX111" s="3"/>
      <c r="AY111" s="3"/>
      <c r="BA111" s="3"/>
      <c r="BB111" s="3"/>
      <c r="BC111" s="3"/>
      <c r="BD111" s="3"/>
      <c r="BE111" s="3"/>
    </row>
    <row r="112" spans="1:57" x14ac:dyDescent="0.25">
      <c r="A112" s="3"/>
      <c r="B112" s="3"/>
      <c r="C112" s="3"/>
      <c r="E112" s="3"/>
      <c r="F112" s="3"/>
      <c r="G112" s="3"/>
      <c r="I112" s="3"/>
      <c r="J112" s="3"/>
      <c r="K112" s="3"/>
      <c r="M112" s="3"/>
      <c r="N112" s="3"/>
      <c r="O112" s="3"/>
      <c r="Q112" s="3"/>
      <c r="R112" s="3"/>
      <c r="S112" s="3"/>
      <c r="T112" s="3"/>
      <c r="U112" s="2">
        <v>68</v>
      </c>
      <c r="V112" s="2">
        <v>1.1057999999999999</v>
      </c>
      <c r="W112" s="2">
        <f t="shared" si="5"/>
        <v>4.6999999999999265</v>
      </c>
      <c r="Y112" s="2">
        <v>68</v>
      </c>
      <c r="Z112" s="2">
        <v>1.1089</v>
      </c>
      <c r="AA112" s="2">
        <f t="shared" si="6"/>
        <v>4.9999999999998934</v>
      </c>
      <c r="AC112" s="2">
        <v>68</v>
      </c>
      <c r="AD112" s="2">
        <v>1.4167000000000001</v>
      </c>
      <c r="AE112" s="2">
        <f t="shared" si="7"/>
        <v>4.8000000000001375</v>
      </c>
      <c r="AG112" s="2">
        <v>68</v>
      </c>
      <c r="AH112" s="2">
        <v>1.4219999999999999</v>
      </c>
      <c r="AI112" s="2">
        <f t="shared" si="8"/>
        <v>4.8999999999999044</v>
      </c>
      <c r="AJ112" s="3"/>
      <c r="AK112" s="2">
        <v>68</v>
      </c>
      <c r="AL112" s="2">
        <v>1.4194</v>
      </c>
      <c r="AM112" s="2">
        <f t="shared" si="9"/>
        <v>4.8999999999999044</v>
      </c>
      <c r="AO112" s="3"/>
      <c r="AP112" s="3"/>
      <c r="AQ112" s="3"/>
      <c r="AS112" s="3"/>
      <c r="AT112" s="3"/>
      <c r="AU112" s="3"/>
      <c r="AW112" s="3"/>
      <c r="AX112" s="3"/>
      <c r="AY112" s="3"/>
      <c r="BA112" s="3"/>
      <c r="BB112" s="3"/>
      <c r="BC112" s="3"/>
      <c r="BD112" s="3"/>
      <c r="BE112" s="3"/>
    </row>
    <row r="113" spans="1:57" x14ac:dyDescent="0.25">
      <c r="A113" s="3"/>
      <c r="B113" s="3"/>
      <c r="C113" s="3"/>
      <c r="E113" s="3"/>
      <c r="F113" s="3"/>
      <c r="G113" s="3"/>
      <c r="I113" s="3"/>
      <c r="J113" s="3"/>
      <c r="K113" s="3"/>
      <c r="M113" s="3"/>
      <c r="N113" s="3"/>
      <c r="O113" s="3"/>
      <c r="Q113" s="3"/>
      <c r="R113" s="3"/>
      <c r="S113" s="3"/>
      <c r="T113" s="3"/>
      <c r="U113" s="2">
        <v>69</v>
      </c>
      <c r="V113" s="2">
        <v>1.1108</v>
      </c>
      <c r="W113" s="2">
        <f t="shared" si="5"/>
        <v>5.0000000000001155</v>
      </c>
      <c r="Y113" s="2">
        <v>69</v>
      </c>
      <c r="Z113" s="2">
        <v>1.1136999999999999</v>
      </c>
      <c r="AA113" s="2">
        <f t="shared" si="6"/>
        <v>4.7999999999999154</v>
      </c>
      <c r="AC113" s="2">
        <v>69</v>
      </c>
      <c r="AD113" s="2">
        <v>1.4217</v>
      </c>
      <c r="AE113" s="2">
        <f t="shared" si="7"/>
        <v>4.9999999999998934</v>
      </c>
      <c r="AG113" s="2">
        <v>69</v>
      </c>
      <c r="AH113" s="2">
        <v>1.4271</v>
      </c>
      <c r="AI113" s="2">
        <f t="shared" si="8"/>
        <v>5.1000000000001044</v>
      </c>
      <c r="AJ113" s="3"/>
      <c r="AK113" s="2">
        <v>69</v>
      </c>
      <c r="AL113" s="2">
        <v>1.4242999999999999</v>
      </c>
      <c r="AM113" s="2">
        <f t="shared" si="9"/>
        <v>4.8999999999999044</v>
      </c>
      <c r="AO113" s="3"/>
      <c r="AP113" s="3"/>
      <c r="AQ113" s="3"/>
      <c r="AS113" s="3"/>
      <c r="AT113" s="3"/>
      <c r="AU113" s="3"/>
      <c r="AW113" s="3"/>
      <c r="AX113" s="3"/>
      <c r="AY113" s="3"/>
      <c r="BA113" s="3"/>
      <c r="BB113" s="3"/>
      <c r="BC113" s="3"/>
      <c r="BD113" s="3"/>
      <c r="BE113" s="3"/>
    </row>
    <row r="114" spans="1:57" x14ac:dyDescent="0.25">
      <c r="A114" s="3"/>
      <c r="B114" s="3"/>
      <c r="C114" s="3"/>
      <c r="E114" s="3"/>
      <c r="F114" s="3"/>
      <c r="G114" s="3"/>
      <c r="I114" s="3"/>
      <c r="J114" s="3"/>
      <c r="K114" s="3"/>
      <c r="M114" s="3"/>
      <c r="N114" s="3"/>
      <c r="O114" s="3"/>
      <c r="Q114" s="3"/>
      <c r="R114" s="3"/>
      <c r="S114" s="3"/>
      <c r="T114" s="3"/>
      <c r="U114" s="2" t="s">
        <v>79</v>
      </c>
      <c r="V114" s="2">
        <v>1.1156999999999999</v>
      </c>
      <c r="W114" s="2">
        <f t="shared" si="5"/>
        <v>4.8999999999999044</v>
      </c>
      <c r="Y114" s="2" t="s">
        <v>79</v>
      </c>
      <c r="Z114" s="2">
        <v>1.1187</v>
      </c>
      <c r="AA114" s="2">
        <f t="shared" si="6"/>
        <v>5.0000000000001155</v>
      </c>
      <c r="AC114" s="2" t="s">
        <v>79</v>
      </c>
      <c r="AD114" s="2">
        <v>1.4266000000000001</v>
      </c>
      <c r="AE114" s="2">
        <f t="shared" si="7"/>
        <v>4.9000000000001265</v>
      </c>
      <c r="AG114" s="2" t="s">
        <v>79</v>
      </c>
      <c r="AH114" s="2">
        <v>1.4320999999999999</v>
      </c>
      <c r="AI114" s="2">
        <f t="shared" si="8"/>
        <v>4.9999999999998934</v>
      </c>
      <c r="AJ114" s="3"/>
      <c r="AK114" s="2" t="s">
        <v>79</v>
      </c>
      <c r="AL114" s="2">
        <v>1.4293</v>
      </c>
      <c r="AM114" s="2">
        <f t="shared" si="9"/>
        <v>5.0000000000001155</v>
      </c>
      <c r="AO114" s="3"/>
      <c r="AP114" s="3"/>
      <c r="AQ114" s="3"/>
      <c r="AS114" s="3"/>
      <c r="AT114" s="3"/>
      <c r="AU114" s="3"/>
      <c r="AW114" s="3"/>
      <c r="AX114" s="3"/>
      <c r="AY114" s="3"/>
      <c r="BA114" s="3"/>
      <c r="BB114" s="3"/>
      <c r="BC114" s="3"/>
      <c r="BD114" s="3"/>
      <c r="BE114" s="3"/>
    </row>
    <row r="115" spans="1:57" x14ac:dyDescent="0.25">
      <c r="A115" s="3"/>
      <c r="B115" s="3"/>
      <c r="C115" s="3"/>
      <c r="E115" s="3"/>
      <c r="F115" s="3"/>
      <c r="G115" s="3"/>
      <c r="I115" s="3"/>
      <c r="J115" s="3"/>
      <c r="K115" s="3"/>
      <c r="M115" s="3"/>
      <c r="N115" s="3"/>
      <c r="O115" s="3"/>
      <c r="Q115" s="3"/>
      <c r="R115" s="3"/>
      <c r="S115" s="3"/>
      <c r="T115" s="3"/>
      <c r="U115" s="2" t="s">
        <v>80</v>
      </c>
      <c r="V115" s="2">
        <v>1.1205000000000001</v>
      </c>
      <c r="W115" s="2">
        <f t="shared" si="5"/>
        <v>4.8000000000001375</v>
      </c>
      <c r="Y115" s="2" t="s">
        <v>80</v>
      </c>
      <c r="Z115" s="2">
        <v>1.1234999999999999</v>
      </c>
      <c r="AA115" s="2">
        <f t="shared" si="6"/>
        <v>4.7999999999999154</v>
      </c>
      <c r="AC115" s="2" t="s">
        <v>80</v>
      </c>
      <c r="AD115" s="2">
        <v>1.4315</v>
      </c>
      <c r="AE115" s="2">
        <f t="shared" si="7"/>
        <v>4.8999999999999044</v>
      </c>
      <c r="AG115" s="2" t="s">
        <v>80</v>
      </c>
      <c r="AH115" s="2">
        <v>1.4372</v>
      </c>
      <c r="AI115" s="2">
        <f t="shared" si="8"/>
        <v>5.1000000000001044</v>
      </c>
      <c r="AJ115" s="3"/>
      <c r="AK115" s="2" t="s">
        <v>80</v>
      </c>
      <c r="AL115" s="2">
        <v>1.4342999999999999</v>
      </c>
      <c r="AM115" s="2">
        <f t="shared" si="9"/>
        <v>4.9999999999998934</v>
      </c>
      <c r="AO115" s="3"/>
      <c r="AP115" s="3"/>
      <c r="AQ115" s="3"/>
      <c r="AS115" s="3"/>
      <c r="AT115" s="3"/>
      <c r="AU115" s="3"/>
      <c r="AW115" s="3"/>
      <c r="AX115" s="3"/>
      <c r="AY115" s="3"/>
      <c r="BA115" s="3"/>
      <c r="BB115" s="3"/>
      <c r="BC115" s="3"/>
      <c r="BD115" s="3"/>
      <c r="BE115" s="3"/>
    </row>
    <row r="116" spans="1:57" x14ac:dyDescent="0.25">
      <c r="A116" s="3"/>
      <c r="B116" s="3"/>
      <c r="C116" s="3"/>
      <c r="E116" s="3"/>
      <c r="F116" s="3"/>
      <c r="G116" s="3"/>
      <c r="I116" s="3"/>
      <c r="J116" s="3"/>
      <c r="K116" s="3"/>
      <c r="M116" s="3"/>
      <c r="N116" s="3"/>
      <c r="O116" s="3"/>
      <c r="Q116" s="3"/>
      <c r="R116" s="3"/>
      <c r="S116" s="3"/>
      <c r="T116" s="3"/>
      <c r="U116" s="2" t="s">
        <v>81</v>
      </c>
      <c r="V116" s="2">
        <v>1.1252</v>
      </c>
      <c r="W116" s="2">
        <f t="shared" si="5"/>
        <v>4.6999999999999265</v>
      </c>
      <c r="Y116" s="2" t="s">
        <v>81</v>
      </c>
      <c r="Z116" s="2">
        <v>1.1282000000000001</v>
      </c>
      <c r="AA116" s="2">
        <f t="shared" si="6"/>
        <v>4.7000000000001485</v>
      </c>
      <c r="AC116" s="2" t="s">
        <v>81</v>
      </c>
      <c r="AD116" s="2">
        <v>1.4369000000000001</v>
      </c>
      <c r="AE116" s="2">
        <f t="shared" si="7"/>
        <v>5.4000000000000714</v>
      </c>
      <c r="AG116" s="2" t="s">
        <v>81</v>
      </c>
      <c r="AH116" s="2">
        <v>1.4424999999999999</v>
      </c>
      <c r="AI116" s="2">
        <f t="shared" si="8"/>
        <v>5.2999999999998604</v>
      </c>
      <c r="AJ116" s="3"/>
      <c r="AK116" s="2" t="s">
        <v>81</v>
      </c>
      <c r="AL116" s="2">
        <v>1.4393</v>
      </c>
      <c r="AM116" s="2">
        <f t="shared" si="9"/>
        <v>5.0000000000001155</v>
      </c>
      <c r="AO116" s="3"/>
      <c r="AP116" s="3"/>
      <c r="AQ116" s="3"/>
      <c r="AS116" s="3"/>
      <c r="AT116" s="3"/>
      <c r="AU116" s="3"/>
      <c r="AW116" s="3"/>
      <c r="AX116" s="3"/>
      <c r="AY116" s="3"/>
      <c r="BA116" s="3"/>
      <c r="BB116" s="3"/>
      <c r="BC116" s="3"/>
      <c r="BD116" s="3"/>
      <c r="BE116" s="3"/>
    </row>
    <row r="117" spans="1:57" x14ac:dyDescent="0.25">
      <c r="A117" s="3"/>
      <c r="B117" s="3"/>
      <c r="C117" s="3"/>
      <c r="E117" s="3"/>
      <c r="F117" s="3"/>
      <c r="G117" s="3"/>
      <c r="I117" s="3"/>
      <c r="J117" s="3"/>
      <c r="K117" s="3"/>
      <c r="M117" s="3"/>
      <c r="N117" s="3"/>
      <c r="O117" s="3"/>
      <c r="Q117" s="3"/>
      <c r="R117" s="3"/>
      <c r="S117" s="3"/>
      <c r="T117" s="3"/>
      <c r="U117" s="2" t="s">
        <v>82</v>
      </c>
      <c r="V117" s="2">
        <v>1.1302000000000001</v>
      </c>
      <c r="W117" s="2">
        <f t="shared" si="5"/>
        <v>5.0000000000001155</v>
      </c>
      <c r="Y117" s="2" t="s">
        <v>82</v>
      </c>
      <c r="Z117" s="2">
        <v>1.1331</v>
      </c>
      <c r="AA117" s="2">
        <f t="shared" si="6"/>
        <v>4.8999999999999044</v>
      </c>
      <c r="AC117" s="2" t="s">
        <v>82</v>
      </c>
      <c r="AD117" s="2">
        <v>1.4419</v>
      </c>
      <c r="AE117" s="2">
        <f t="shared" si="7"/>
        <v>4.9999999999998934</v>
      </c>
      <c r="AG117" s="2" t="s">
        <v>82</v>
      </c>
      <c r="AH117" s="2">
        <v>1.4476</v>
      </c>
      <c r="AI117" s="2">
        <f t="shared" si="8"/>
        <v>5.1000000000001044</v>
      </c>
      <c r="AJ117" s="3"/>
      <c r="AK117" s="2" t="s">
        <v>82</v>
      </c>
      <c r="AL117" s="2">
        <v>1.4441999999999999</v>
      </c>
      <c r="AM117" s="2">
        <f t="shared" si="9"/>
        <v>4.8999999999999044</v>
      </c>
      <c r="AO117" s="3"/>
      <c r="AP117" s="3"/>
      <c r="AQ117" s="3"/>
      <c r="AS117" s="3"/>
      <c r="AT117" s="3"/>
      <c r="AU117" s="3"/>
      <c r="AW117" s="3"/>
      <c r="AX117" s="3"/>
      <c r="AY117" s="3"/>
      <c r="BA117" s="3"/>
      <c r="BB117" s="3"/>
      <c r="BC117" s="3"/>
      <c r="BD117" s="3"/>
      <c r="BE117" s="3"/>
    </row>
    <row r="118" spans="1:57" x14ac:dyDescent="0.25">
      <c r="A118" s="3"/>
      <c r="B118" s="3"/>
      <c r="C118" s="3"/>
      <c r="E118" s="3"/>
      <c r="F118" s="3"/>
      <c r="G118" s="3"/>
      <c r="I118" s="3"/>
      <c r="J118" s="3"/>
      <c r="K118" s="3"/>
      <c r="M118" s="3"/>
      <c r="N118" s="3"/>
      <c r="O118" s="3"/>
      <c r="Q118" s="3"/>
      <c r="R118" s="3"/>
      <c r="S118" s="3"/>
      <c r="T118" s="3"/>
      <c r="U118" s="2" t="s">
        <v>83</v>
      </c>
      <c r="V118" s="2">
        <v>1.1353</v>
      </c>
      <c r="W118" s="2">
        <f t="shared" si="5"/>
        <v>5.0999999999998824</v>
      </c>
      <c r="Y118" s="2" t="s">
        <v>83</v>
      </c>
      <c r="Z118" s="2">
        <v>1.1380999999999999</v>
      </c>
      <c r="AA118" s="2">
        <f t="shared" si="6"/>
        <v>4.9999999999998934</v>
      </c>
      <c r="AC118" s="2" t="s">
        <v>83</v>
      </c>
      <c r="AD118" s="2">
        <v>1.4469000000000001</v>
      </c>
      <c r="AE118" s="2">
        <f t="shared" si="7"/>
        <v>5.0000000000001155</v>
      </c>
      <c r="AG118" s="2" t="s">
        <v>83</v>
      </c>
      <c r="AH118" s="2">
        <v>1.4525999999999999</v>
      </c>
      <c r="AI118" s="2">
        <f t="shared" si="8"/>
        <v>4.9999999999998934</v>
      </c>
      <c r="AJ118" s="3"/>
      <c r="AK118" s="2" t="s">
        <v>83</v>
      </c>
      <c r="AL118" s="2">
        <v>1.4492</v>
      </c>
      <c r="AM118" s="2">
        <f t="shared" si="9"/>
        <v>5.0000000000001155</v>
      </c>
      <c r="AO118" s="3"/>
      <c r="AP118" s="3"/>
      <c r="AQ118" s="3"/>
      <c r="AS118" s="3"/>
      <c r="AT118" s="3"/>
      <c r="AU118" s="3"/>
      <c r="AW118" s="3"/>
      <c r="AX118" s="3"/>
      <c r="AY118" s="3"/>
      <c r="BA118" s="3"/>
      <c r="BB118" s="3"/>
      <c r="BC118" s="3"/>
      <c r="BD118" s="3"/>
      <c r="BE118" s="3"/>
    </row>
    <row r="119" spans="1:57" x14ac:dyDescent="0.25">
      <c r="A119" s="3"/>
      <c r="B119" s="3"/>
      <c r="C119" s="3"/>
      <c r="E119" s="3"/>
      <c r="F119" s="3"/>
      <c r="G119" s="3"/>
      <c r="I119" s="3"/>
      <c r="J119" s="3"/>
      <c r="K119" s="3"/>
      <c r="M119" s="3"/>
      <c r="N119" s="3"/>
      <c r="O119" s="3"/>
      <c r="Q119" s="3"/>
      <c r="R119" s="3"/>
      <c r="S119" s="3"/>
      <c r="T119" s="3"/>
      <c r="U119" s="2" t="s">
        <v>84</v>
      </c>
      <c r="V119" s="2">
        <v>1.1400999999999999</v>
      </c>
      <c r="W119" s="2">
        <f t="shared" si="5"/>
        <v>4.7999999999999154</v>
      </c>
      <c r="Y119" s="2" t="s">
        <v>84</v>
      </c>
      <c r="Z119" s="2">
        <v>1.1429</v>
      </c>
      <c r="AA119" s="2">
        <f t="shared" si="6"/>
        <v>4.8000000000001375</v>
      </c>
      <c r="AC119" s="2" t="s">
        <v>84</v>
      </c>
      <c r="AD119" s="2">
        <v>1.4518</v>
      </c>
      <c r="AE119" s="2">
        <f t="shared" si="7"/>
        <v>4.8999999999999044</v>
      </c>
      <c r="AG119" s="2" t="s">
        <v>84</v>
      </c>
      <c r="AH119" s="2">
        <v>1.4576</v>
      </c>
      <c r="AI119" s="2">
        <f t="shared" si="8"/>
        <v>5.0000000000001155</v>
      </c>
      <c r="AJ119" s="3"/>
      <c r="AK119" s="2" t="s">
        <v>84</v>
      </c>
      <c r="AL119" s="2">
        <v>1.4541999999999999</v>
      </c>
      <c r="AM119" s="2">
        <f t="shared" si="9"/>
        <v>4.9999999999998934</v>
      </c>
      <c r="AO119" s="3"/>
      <c r="AP119" s="3"/>
      <c r="AQ119" s="3"/>
      <c r="AS119" s="3"/>
      <c r="AT119" s="3"/>
      <c r="AU119" s="3"/>
      <c r="AW119" s="3"/>
      <c r="AX119" s="3"/>
      <c r="AY119" s="3"/>
      <c r="BA119" s="3"/>
      <c r="BB119" s="3"/>
      <c r="BC119" s="3"/>
      <c r="BD119" s="3"/>
      <c r="BE119" s="3"/>
    </row>
    <row r="120" spans="1:57" x14ac:dyDescent="0.25">
      <c r="A120" s="3"/>
      <c r="B120" s="3"/>
      <c r="C120" s="3"/>
      <c r="E120" s="3"/>
      <c r="F120" s="3"/>
      <c r="G120" s="3"/>
      <c r="I120" s="3"/>
      <c r="J120" s="3"/>
      <c r="K120" s="3"/>
      <c r="M120" s="3"/>
      <c r="N120" s="3"/>
      <c r="O120" s="3"/>
      <c r="Q120" s="3"/>
      <c r="R120" s="3"/>
      <c r="S120" s="3"/>
      <c r="T120" s="3"/>
      <c r="U120" s="2">
        <v>70</v>
      </c>
      <c r="V120" s="2">
        <v>1.145</v>
      </c>
      <c r="W120" s="2">
        <f t="shared" si="5"/>
        <v>4.9000000000001265</v>
      </c>
      <c r="Y120" s="2">
        <v>70</v>
      </c>
      <c r="Z120" s="2">
        <v>1.1479999999999999</v>
      </c>
      <c r="AA120" s="2">
        <f t="shared" si="6"/>
        <v>5.0999999999998824</v>
      </c>
      <c r="AC120" s="2">
        <v>70</v>
      </c>
      <c r="AD120" s="2">
        <v>1.4570000000000001</v>
      </c>
      <c r="AE120" s="2">
        <f t="shared" si="7"/>
        <v>5.2000000000000934</v>
      </c>
      <c r="AG120" s="2">
        <v>70</v>
      </c>
      <c r="AH120" s="2">
        <v>1.4616</v>
      </c>
      <c r="AI120" s="2">
        <f t="shared" si="8"/>
        <v>4.0000000000000036</v>
      </c>
      <c r="AJ120" s="3"/>
      <c r="AK120" s="2">
        <v>70</v>
      </c>
      <c r="AL120" s="2">
        <v>1.4591000000000001</v>
      </c>
      <c r="AM120" s="2">
        <f t="shared" si="9"/>
        <v>4.9000000000001265</v>
      </c>
      <c r="AO120" s="3"/>
      <c r="AP120" s="3"/>
      <c r="AQ120" s="3"/>
      <c r="AS120" s="3"/>
      <c r="AT120" s="3"/>
      <c r="AU120" s="3"/>
      <c r="AW120" s="3"/>
      <c r="AX120" s="3"/>
      <c r="AY120" s="3"/>
      <c r="BA120" s="3"/>
      <c r="BB120" s="3"/>
      <c r="BC120" s="3"/>
      <c r="BD120" s="3"/>
      <c r="BE120" s="3"/>
    </row>
    <row r="121" spans="1:57" x14ac:dyDescent="0.25">
      <c r="A121" s="3"/>
      <c r="B121" s="3"/>
      <c r="C121" s="3"/>
      <c r="E121" s="3"/>
      <c r="F121" s="3"/>
      <c r="G121" s="3"/>
      <c r="I121" s="3"/>
      <c r="J121" s="3"/>
      <c r="K121" s="3"/>
      <c r="M121" s="3"/>
      <c r="N121" s="3"/>
      <c r="O121" s="3"/>
      <c r="Q121" s="3"/>
      <c r="R121" s="3"/>
      <c r="S121" s="3"/>
      <c r="T121" s="3"/>
      <c r="U121" s="2">
        <v>71</v>
      </c>
      <c r="V121" s="2">
        <v>1.1498999999999999</v>
      </c>
      <c r="W121" s="2">
        <f t="shared" si="5"/>
        <v>4.8999999999999044</v>
      </c>
      <c r="Y121" s="2">
        <v>71</v>
      </c>
      <c r="Z121" s="2">
        <v>1.1528</v>
      </c>
      <c r="AA121" s="2">
        <f t="shared" si="6"/>
        <v>4.8000000000001375</v>
      </c>
      <c r="AC121" s="2">
        <v>71</v>
      </c>
      <c r="AD121" s="2">
        <v>1.462</v>
      </c>
      <c r="AE121" s="2">
        <f t="shared" si="7"/>
        <v>4.9999999999998934</v>
      </c>
      <c r="AG121" s="2">
        <v>71</v>
      </c>
      <c r="AH121" s="2">
        <v>1.4666999999999999</v>
      </c>
      <c r="AI121" s="2">
        <f t="shared" si="8"/>
        <v>5.0999999999998824</v>
      </c>
      <c r="AJ121" s="3"/>
      <c r="AK121" s="2">
        <v>71</v>
      </c>
      <c r="AL121" s="2">
        <v>1.4641</v>
      </c>
      <c r="AM121" s="2">
        <f t="shared" si="9"/>
        <v>4.9999999999998934</v>
      </c>
      <c r="AO121" s="3"/>
      <c r="AP121" s="3"/>
      <c r="AQ121" s="3"/>
      <c r="AS121" s="3"/>
      <c r="AT121" s="3"/>
      <c r="AU121" s="3"/>
      <c r="AW121" s="3"/>
      <c r="AX121" s="3"/>
      <c r="AY121" s="3"/>
      <c r="BA121" s="3"/>
      <c r="BB121" s="3"/>
      <c r="BC121" s="3"/>
      <c r="BD121" s="3"/>
      <c r="BE121" s="3"/>
    </row>
    <row r="122" spans="1:57" x14ac:dyDescent="0.25">
      <c r="A122" s="3"/>
      <c r="B122" s="3"/>
      <c r="C122" s="3"/>
      <c r="E122" s="3"/>
      <c r="F122" s="3"/>
      <c r="G122" s="3"/>
      <c r="I122" s="3"/>
      <c r="J122" s="3"/>
      <c r="K122" s="3"/>
      <c r="M122" s="3"/>
      <c r="N122" s="3"/>
      <c r="O122" s="3"/>
      <c r="Q122" s="3"/>
      <c r="R122" s="3"/>
      <c r="S122" s="3"/>
      <c r="T122" s="3"/>
      <c r="U122" s="2">
        <v>72</v>
      </c>
      <c r="V122" s="2">
        <v>1.155</v>
      </c>
      <c r="W122" s="2">
        <f t="shared" si="5"/>
        <v>5.1000000000001044</v>
      </c>
      <c r="Y122" s="2">
        <v>72</v>
      </c>
      <c r="Z122" s="2">
        <v>1.1577999999999999</v>
      </c>
      <c r="AA122" s="2">
        <f t="shared" si="6"/>
        <v>4.9999999999998934</v>
      </c>
      <c r="AC122" s="2">
        <v>72</v>
      </c>
      <c r="AD122" s="2">
        <v>1.4669000000000001</v>
      </c>
      <c r="AE122" s="2">
        <f t="shared" si="7"/>
        <v>4.9000000000001265</v>
      </c>
      <c r="AG122" s="2">
        <v>72</v>
      </c>
      <c r="AH122" s="2">
        <v>1.4718</v>
      </c>
      <c r="AI122" s="2">
        <f t="shared" si="8"/>
        <v>5.1000000000001044</v>
      </c>
      <c r="AJ122" s="3"/>
      <c r="AK122" s="2">
        <v>72</v>
      </c>
      <c r="AL122" s="2">
        <v>1.4691000000000001</v>
      </c>
      <c r="AM122" s="2">
        <f t="shared" si="9"/>
        <v>5.0000000000001155</v>
      </c>
      <c r="AO122" s="3"/>
      <c r="AP122" s="3"/>
      <c r="AQ122" s="3"/>
      <c r="AS122" s="3"/>
      <c r="AT122" s="3"/>
      <c r="AU122" s="3"/>
      <c r="AW122" s="3"/>
      <c r="AX122" s="3"/>
      <c r="AY122" s="3"/>
      <c r="BA122" s="3"/>
      <c r="BB122" s="3"/>
      <c r="BC122" s="3"/>
      <c r="BD122" s="3"/>
      <c r="BE122" s="3"/>
    </row>
    <row r="123" spans="1:57" x14ac:dyDescent="0.25">
      <c r="A123" s="3"/>
      <c r="B123" s="3"/>
      <c r="C123" s="3"/>
      <c r="E123" s="3"/>
      <c r="F123" s="3"/>
      <c r="G123" s="3"/>
      <c r="I123" s="3"/>
      <c r="J123" s="3"/>
      <c r="K123" s="3"/>
      <c r="M123" s="3"/>
      <c r="N123" s="3"/>
      <c r="O123" s="3"/>
      <c r="Q123" s="3"/>
      <c r="R123" s="3"/>
      <c r="S123" s="3"/>
      <c r="T123" s="3"/>
      <c r="U123" s="2">
        <v>73</v>
      </c>
      <c r="V123" s="2">
        <v>1.1597999999999999</v>
      </c>
      <c r="W123" s="2">
        <f t="shared" si="5"/>
        <v>4.7999999999999154</v>
      </c>
      <c r="Y123" s="2">
        <v>73</v>
      </c>
      <c r="Z123" s="2">
        <v>1.1627000000000001</v>
      </c>
      <c r="AA123" s="2">
        <f t="shared" si="6"/>
        <v>4.9000000000001265</v>
      </c>
      <c r="AC123" s="2">
        <v>73</v>
      </c>
      <c r="AD123" s="2">
        <v>1.4719</v>
      </c>
      <c r="AE123" s="2">
        <f t="shared" si="7"/>
        <v>4.9999999999998934</v>
      </c>
      <c r="AG123" s="2">
        <v>73</v>
      </c>
      <c r="AH123" s="2">
        <v>1.4767999999999999</v>
      </c>
      <c r="AI123" s="2">
        <f t="shared" si="8"/>
        <v>4.9999999999998934</v>
      </c>
      <c r="AJ123" s="3"/>
      <c r="AK123" s="2">
        <v>73</v>
      </c>
      <c r="AL123" s="2">
        <v>1.474</v>
      </c>
      <c r="AM123" s="2">
        <f t="shared" si="9"/>
        <v>4.8999999999999044</v>
      </c>
      <c r="AO123" s="3"/>
      <c r="AP123" s="3"/>
      <c r="AQ123" s="3"/>
      <c r="AS123" s="3"/>
      <c r="AT123" s="3"/>
      <c r="AU123" s="3"/>
      <c r="AW123" s="3"/>
      <c r="AX123" s="3"/>
      <c r="AY123" s="3"/>
      <c r="BA123" s="3"/>
      <c r="BB123" s="3"/>
      <c r="BC123" s="3"/>
      <c r="BD123" s="3"/>
      <c r="BE123" s="3"/>
    </row>
    <row r="124" spans="1:57" x14ac:dyDescent="0.25">
      <c r="A124" s="3"/>
      <c r="B124" s="3"/>
      <c r="C124" s="3"/>
      <c r="E124" s="3"/>
      <c r="F124" s="3"/>
      <c r="G124" s="3"/>
      <c r="I124" s="3"/>
      <c r="J124" s="3"/>
      <c r="K124" s="3"/>
      <c r="M124" s="3"/>
      <c r="N124" s="3"/>
      <c r="O124" s="3"/>
      <c r="Q124" s="3"/>
      <c r="R124" s="3"/>
      <c r="S124" s="3"/>
      <c r="T124" s="3"/>
      <c r="U124" s="2">
        <v>74</v>
      </c>
      <c r="V124" s="2">
        <v>1.1646000000000001</v>
      </c>
      <c r="W124" s="2">
        <f t="shared" si="5"/>
        <v>4.8000000000001375</v>
      </c>
      <c r="Y124" s="2">
        <v>74</v>
      </c>
      <c r="Z124" s="2">
        <v>1.1674</v>
      </c>
      <c r="AA124" s="2">
        <f t="shared" si="6"/>
        <v>4.6999999999999265</v>
      </c>
      <c r="AC124" s="2">
        <v>74</v>
      </c>
      <c r="AD124" s="2">
        <v>1.4773000000000001</v>
      </c>
      <c r="AE124" s="2">
        <f t="shared" si="7"/>
        <v>5.4000000000000714</v>
      </c>
      <c r="AG124" s="2">
        <v>74</v>
      </c>
      <c r="AH124" s="2">
        <v>1.4821</v>
      </c>
      <c r="AI124" s="2">
        <f t="shared" si="8"/>
        <v>5.3000000000000824</v>
      </c>
      <c r="AJ124" s="3"/>
      <c r="AK124" s="2">
        <v>74</v>
      </c>
      <c r="AL124" s="2">
        <v>1.4791000000000001</v>
      </c>
      <c r="AM124" s="2">
        <f t="shared" si="9"/>
        <v>5.1000000000001044</v>
      </c>
      <c r="AO124" s="3"/>
      <c r="AP124" s="3"/>
      <c r="AQ124" s="3"/>
      <c r="AS124" s="3"/>
      <c r="AT124" s="3"/>
      <c r="AU124" s="3"/>
      <c r="AW124" s="3"/>
      <c r="AX124" s="3"/>
      <c r="AY124" s="3"/>
      <c r="BA124" s="3"/>
      <c r="BB124" s="3"/>
      <c r="BC124" s="3"/>
      <c r="BD124" s="3"/>
      <c r="BE124" s="3"/>
    </row>
    <row r="125" spans="1:57" x14ac:dyDescent="0.25">
      <c r="A125" s="3"/>
      <c r="B125" s="3"/>
      <c r="C125" s="3"/>
      <c r="E125" s="3"/>
      <c r="F125" s="3"/>
      <c r="G125" s="3"/>
      <c r="I125" s="3"/>
      <c r="J125" s="3"/>
      <c r="K125" s="3"/>
      <c r="M125" s="3"/>
      <c r="N125" s="3"/>
      <c r="O125" s="3"/>
      <c r="Q125" s="3"/>
      <c r="R125" s="3"/>
      <c r="S125" s="3"/>
      <c r="T125" s="3"/>
      <c r="U125" s="2">
        <v>75</v>
      </c>
      <c r="V125" s="2">
        <v>1.1694</v>
      </c>
      <c r="W125" s="2">
        <f t="shared" si="5"/>
        <v>4.7999999999999154</v>
      </c>
      <c r="Y125" s="2">
        <v>75</v>
      </c>
      <c r="Z125" s="2">
        <v>1.1722999999999999</v>
      </c>
      <c r="AA125" s="2">
        <f t="shared" si="6"/>
        <v>4.8999999999999044</v>
      </c>
      <c r="AC125" s="2">
        <v>75</v>
      </c>
      <c r="AD125" s="2">
        <v>1.4823</v>
      </c>
      <c r="AE125" s="2">
        <f t="shared" si="7"/>
        <v>4.9999999999998934</v>
      </c>
      <c r="AG125" s="2">
        <v>75</v>
      </c>
      <c r="AH125" s="2">
        <v>1.4872000000000001</v>
      </c>
      <c r="AI125" s="2">
        <f t="shared" si="8"/>
        <v>5.1000000000001044</v>
      </c>
      <c r="AJ125" s="3"/>
      <c r="AK125" s="2">
        <v>75</v>
      </c>
      <c r="AL125" s="2">
        <v>1.484</v>
      </c>
      <c r="AM125" s="2">
        <f t="shared" si="9"/>
        <v>4.8999999999999044</v>
      </c>
      <c r="AO125" s="3"/>
      <c r="AP125" s="3"/>
      <c r="AQ125" s="3"/>
      <c r="AS125" s="3"/>
      <c r="AT125" s="3"/>
      <c r="AU125" s="3"/>
      <c r="AW125" s="3"/>
      <c r="AX125" s="3"/>
      <c r="AY125" s="3"/>
      <c r="BA125" s="3"/>
      <c r="BB125" s="3"/>
      <c r="BC125" s="3"/>
      <c r="BD125" s="3"/>
      <c r="BE125" s="3"/>
    </row>
    <row r="126" spans="1:57" x14ac:dyDescent="0.25">
      <c r="A126" s="3"/>
      <c r="B126" s="3"/>
      <c r="C126" s="3"/>
      <c r="E126" s="3"/>
      <c r="F126" s="3"/>
      <c r="G126" s="3"/>
      <c r="I126" s="3"/>
      <c r="J126" s="3"/>
      <c r="K126" s="3"/>
      <c r="M126" s="3"/>
      <c r="N126" s="3"/>
      <c r="O126" s="3"/>
      <c r="Q126" s="3"/>
      <c r="R126" s="3"/>
      <c r="S126" s="3"/>
      <c r="T126" s="3"/>
      <c r="U126" s="2">
        <v>76</v>
      </c>
      <c r="V126" s="2">
        <v>1.1746000000000001</v>
      </c>
      <c r="W126" s="2">
        <f t="shared" si="5"/>
        <v>5.2000000000000934</v>
      </c>
      <c r="Y126" s="2">
        <v>76</v>
      </c>
      <c r="Z126" s="2">
        <v>1.1773</v>
      </c>
      <c r="AA126" s="2">
        <f t="shared" si="6"/>
        <v>5.0000000000001155</v>
      </c>
      <c r="AC126" s="2">
        <v>76</v>
      </c>
      <c r="AD126" s="2">
        <v>1.4872000000000001</v>
      </c>
      <c r="AE126" s="2">
        <f t="shared" si="7"/>
        <v>4.9000000000001265</v>
      </c>
      <c r="AG126" s="2">
        <v>76</v>
      </c>
      <c r="AH126" s="2">
        <v>1.4922</v>
      </c>
      <c r="AI126" s="2">
        <f t="shared" si="8"/>
        <v>4.9999999999998934</v>
      </c>
      <c r="AJ126" s="3"/>
      <c r="AK126" s="2">
        <v>76</v>
      </c>
      <c r="AL126" s="2">
        <v>1.4890000000000001</v>
      </c>
      <c r="AM126" s="2">
        <f t="shared" si="9"/>
        <v>5.0000000000001155</v>
      </c>
      <c r="AO126" s="3"/>
      <c r="AP126" s="3"/>
      <c r="AQ126" s="3"/>
      <c r="AS126" s="3"/>
      <c r="AT126" s="3"/>
      <c r="AU126" s="3"/>
      <c r="AW126" s="3"/>
      <c r="AX126" s="3"/>
      <c r="AY126" s="3"/>
      <c r="BA126" s="3"/>
      <c r="BB126" s="3"/>
      <c r="BC126" s="3"/>
      <c r="BD126" s="3"/>
      <c r="BE126" s="3"/>
    </row>
    <row r="127" spans="1:57" x14ac:dyDescent="0.25">
      <c r="A127" s="3"/>
      <c r="B127" s="3"/>
      <c r="C127" s="3"/>
      <c r="E127" s="3"/>
      <c r="F127" s="3"/>
      <c r="G127" s="3"/>
      <c r="I127" s="3"/>
      <c r="J127" s="3"/>
      <c r="K127" s="3"/>
      <c r="M127" s="3"/>
      <c r="N127" s="3"/>
      <c r="O127" s="3"/>
      <c r="Q127" s="3"/>
      <c r="R127" s="3"/>
      <c r="S127" s="3"/>
      <c r="T127" s="3"/>
      <c r="U127" s="2">
        <v>77</v>
      </c>
      <c r="V127" s="2">
        <v>1.1796</v>
      </c>
      <c r="W127" s="2">
        <f t="shared" si="5"/>
        <v>4.9999999999998934</v>
      </c>
      <c r="Y127" s="2">
        <v>77</v>
      </c>
      <c r="Z127" s="2">
        <v>1.1820999999999999</v>
      </c>
      <c r="AA127" s="2">
        <f t="shared" si="6"/>
        <v>4.7999999999999154</v>
      </c>
      <c r="AC127" s="2">
        <v>77</v>
      </c>
      <c r="AD127" s="2">
        <v>1.4922</v>
      </c>
      <c r="AE127" s="2">
        <f t="shared" si="7"/>
        <v>4.9999999999998934</v>
      </c>
      <c r="AG127" s="2">
        <v>77</v>
      </c>
      <c r="AH127" s="2">
        <v>1.4972000000000001</v>
      </c>
      <c r="AI127" s="2">
        <f t="shared" si="8"/>
        <v>5.0000000000001155</v>
      </c>
      <c r="AJ127" s="3"/>
      <c r="AK127" s="2">
        <v>77</v>
      </c>
      <c r="AL127" s="2">
        <v>1.4939</v>
      </c>
      <c r="AM127" s="2">
        <f t="shared" si="9"/>
        <v>4.8999999999999044</v>
      </c>
      <c r="AO127" s="3"/>
      <c r="AP127" s="3"/>
      <c r="AQ127" s="3"/>
      <c r="AS127" s="3"/>
      <c r="AT127" s="3"/>
      <c r="AU127" s="3"/>
      <c r="AW127" s="3"/>
      <c r="AX127" s="3"/>
      <c r="AY127" s="3"/>
      <c r="BA127" s="3"/>
      <c r="BB127" s="3"/>
      <c r="BC127" s="3"/>
      <c r="BD127" s="3"/>
      <c r="BE127" s="3"/>
    </row>
    <row r="128" spans="1:57" x14ac:dyDescent="0.25">
      <c r="A128" s="3"/>
      <c r="B128" s="3"/>
      <c r="C128" s="3"/>
      <c r="E128" s="3"/>
      <c r="F128" s="3"/>
      <c r="G128" s="3"/>
      <c r="I128" s="3"/>
      <c r="J128" s="3"/>
      <c r="K128" s="3"/>
      <c r="M128" s="3"/>
      <c r="N128" s="3"/>
      <c r="O128" s="3"/>
      <c r="Q128" s="3"/>
      <c r="R128" s="3"/>
      <c r="S128" s="3"/>
      <c r="T128" s="3"/>
      <c r="U128" s="2">
        <v>78</v>
      </c>
      <c r="V128" s="2">
        <v>1.1841999999999999</v>
      </c>
      <c r="W128" s="2">
        <f t="shared" si="5"/>
        <v>4.5999999999999375</v>
      </c>
      <c r="Y128" s="2">
        <v>78</v>
      </c>
      <c r="Z128" s="2">
        <v>1.1871</v>
      </c>
      <c r="AA128" s="2">
        <f t="shared" si="6"/>
        <v>5.0000000000001155</v>
      </c>
      <c r="AC128" s="2">
        <v>78</v>
      </c>
      <c r="AD128" s="2">
        <v>1.4970000000000001</v>
      </c>
      <c r="AE128" s="2">
        <f t="shared" si="7"/>
        <v>4.8000000000001375</v>
      </c>
      <c r="AG128" s="2">
        <v>78</v>
      </c>
      <c r="AH128" s="2">
        <v>1.5021</v>
      </c>
      <c r="AI128" s="2">
        <f t="shared" si="8"/>
        <v>4.8999999999999044</v>
      </c>
      <c r="AJ128" s="3"/>
      <c r="AK128" s="2">
        <v>78</v>
      </c>
      <c r="AL128" s="2">
        <v>1.4987999999999999</v>
      </c>
      <c r="AM128" s="2">
        <f t="shared" si="9"/>
        <v>4.8999999999999044</v>
      </c>
      <c r="AO128" s="3"/>
      <c r="AP128" s="3"/>
      <c r="AQ128" s="3"/>
      <c r="AS128" s="3"/>
      <c r="AT128" s="3"/>
      <c r="AU128" s="3"/>
      <c r="AW128" s="3"/>
      <c r="AX128" s="3"/>
      <c r="AY128" s="3"/>
      <c r="BA128" s="3"/>
      <c r="BB128" s="3"/>
      <c r="BC128" s="3"/>
      <c r="BD128" s="3"/>
      <c r="BE128" s="3"/>
    </row>
    <row r="129" spans="1:57" x14ac:dyDescent="0.25">
      <c r="A129" s="3"/>
      <c r="B129" s="3"/>
      <c r="C129" s="3"/>
      <c r="E129" s="3"/>
      <c r="F129" s="3"/>
      <c r="G129" s="3"/>
      <c r="I129" s="3"/>
      <c r="J129" s="3"/>
      <c r="K129" s="3"/>
      <c r="M129" s="3"/>
      <c r="N129" s="3"/>
      <c r="O129" s="3"/>
      <c r="Q129" s="3"/>
      <c r="R129" s="3"/>
      <c r="S129" s="3"/>
      <c r="T129" s="3"/>
      <c r="U129" s="2">
        <v>79</v>
      </c>
      <c r="V129" s="2">
        <v>1.1892</v>
      </c>
      <c r="W129" s="2">
        <f t="shared" si="5"/>
        <v>5.0000000000001155</v>
      </c>
      <c r="Y129" s="2">
        <v>79</v>
      </c>
      <c r="Z129" s="2">
        <v>1.1919</v>
      </c>
      <c r="AA129" s="2">
        <f t="shared" si="6"/>
        <v>4.7999999999999154</v>
      </c>
      <c r="AC129" s="2">
        <v>79</v>
      </c>
      <c r="AD129" s="2">
        <v>1.5019</v>
      </c>
      <c r="AE129" s="2">
        <f t="shared" si="7"/>
        <v>4.8999999999999044</v>
      </c>
      <c r="AG129" s="2">
        <v>79</v>
      </c>
      <c r="AH129" s="2">
        <v>1.5072000000000001</v>
      </c>
      <c r="AI129" s="2">
        <f t="shared" si="8"/>
        <v>5.1000000000001044</v>
      </c>
      <c r="AJ129" s="3"/>
      <c r="AK129" s="2">
        <v>79</v>
      </c>
      <c r="AL129" s="2">
        <v>1.5038</v>
      </c>
      <c r="AM129" s="2">
        <f t="shared" si="9"/>
        <v>5.0000000000001155</v>
      </c>
      <c r="AO129" s="3"/>
      <c r="AP129" s="3"/>
      <c r="AQ129" s="3"/>
      <c r="AS129" s="3"/>
      <c r="AT129" s="3"/>
      <c r="AU129" s="3"/>
      <c r="AW129" s="3"/>
      <c r="AX129" s="3"/>
      <c r="AY129" s="3"/>
      <c r="BA129" s="3"/>
      <c r="BB129" s="3"/>
      <c r="BC129" s="3"/>
      <c r="BD129" s="3"/>
      <c r="BE129" s="3"/>
    </row>
    <row r="130" spans="1:57" x14ac:dyDescent="0.25">
      <c r="A130" s="3"/>
      <c r="B130" s="3"/>
      <c r="C130" s="3"/>
      <c r="E130" s="3"/>
      <c r="F130" s="3"/>
      <c r="G130" s="3"/>
      <c r="I130" s="3"/>
      <c r="J130" s="3"/>
      <c r="K130" s="3"/>
      <c r="M130" s="3"/>
      <c r="N130" s="3"/>
      <c r="O130" s="3"/>
      <c r="Q130" s="3"/>
      <c r="R130" s="3"/>
      <c r="S130" s="3"/>
      <c r="T130" s="3"/>
      <c r="U130" s="2" t="s">
        <v>85</v>
      </c>
      <c r="V130" s="2">
        <v>1.1940999999999999</v>
      </c>
      <c r="W130" s="2">
        <f t="shared" si="5"/>
        <v>4.8999999999999044</v>
      </c>
      <c r="Y130" s="2" t="s">
        <v>85</v>
      </c>
      <c r="Z130" s="2">
        <v>1.1968000000000001</v>
      </c>
      <c r="AA130" s="2">
        <f t="shared" si="6"/>
        <v>4.9000000000001265</v>
      </c>
      <c r="AC130" s="2" t="s">
        <v>85</v>
      </c>
      <c r="AD130" s="2">
        <v>1.5068999999999999</v>
      </c>
      <c r="AE130" s="2">
        <f t="shared" si="7"/>
        <v>4.9999999999998934</v>
      </c>
      <c r="AG130" s="2" t="s">
        <v>85</v>
      </c>
      <c r="AH130" s="2">
        <v>1.5122</v>
      </c>
      <c r="AI130" s="2">
        <f t="shared" si="8"/>
        <v>4.9999999999998934</v>
      </c>
      <c r="AJ130" s="3"/>
      <c r="AK130" s="2" t="s">
        <v>85</v>
      </c>
      <c r="AL130" s="2">
        <v>1.5086999999999999</v>
      </c>
      <c r="AM130" s="2">
        <f t="shared" si="9"/>
        <v>4.8999999999999044</v>
      </c>
      <c r="AO130" s="3"/>
      <c r="AP130" s="3"/>
      <c r="AQ130" s="3"/>
      <c r="AS130" s="3"/>
      <c r="AT130" s="3"/>
      <c r="AU130" s="3"/>
      <c r="AW130" s="3"/>
      <c r="AX130" s="3"/>
      <c r="AY130" s="3"/>
      <c r="BA130" s="3"/>
      <c r="BB130" s="3"/>
      <c r="BC130" s="3"/>
      <c r="BD130" s="3"/>
      <c r="BE130" s="3"/>
    </row>
    <row r="131" spans="1:57" x14ac:dyDescent="0.25">
      <c r="A131" s="3"/>
      <c r="B131" s="3"/>
      <c r="C131" s="3"/>
      <c r="E131" s="3"/>
      <c r="F131" s="3"/>
      <c r="G131" s="3"/>
      <c r="I131" s="3"/>
      <c r="J131" s="3"/>
      <c r="K131" s="3"/>
      <c r="M131" s="3"/>
      <c r="N131" s="3"/>
      <c r="O131" s="3"/>
      <c r="Q131" s="3"/>
      <c r="R131" s="3"/>
      <c r="S131" s="3"/>
      <c r="T131" s="3"/>
      <c r="U131" s="2" t="s">
        <v>86</v>
      </c>
      <c r="V131" s="2">
        <v>1.1988000000000001</v>
      </c>
      <c r="W131" s="2">
        <f t="shared" si="5"/>
        <v>4.7000000000001485</v>
      </c>
      <c r="Y131" s="2" t="s">
        <v>86</v>
      </c>
      <c r="Z131" s="2">
        <v>1.2017</v>
      </c>
      <c r="AA131" s="2">
        <f t="shared" si="6"/>
        <v>4.8999999999999044</v>
      </c>
      <c r="AC131" s="2" t="s">
        <v>86</v>
      </c>
      <c r="AD131" s="2">
        <v>1.5119</v>
      </c>
      <c r="AE131" s="2">
        <f t="shared" si="7"/>
        <v>5.0000000000001155</v>
      </c>
      <c r="AG131" s="2" t="s">
        <v>86</v>
      </c>
      <c r="AH131" s="2">
        <v>1.5173000000000001</v>
      </c>
      <c r="AI131" s="2">
        <f t="shared" si="8"/>
        <v>5.1000000000001044</v>
      </c>
      <c r="AJ131" s="3"/>
      <c r="AK131" s="2" t="s">
        <v>86</v>
      </c>
      <c r="AL131" s="2">
        <v>1.5137</v>
      </c>
      <c r="AM131" s="2">
        <f t="shared" si="9"/>
        <v>5.0000000000001155</v>
      </c>
      <c r="AO131" s="3"/>
      <c r="AP131" s="3"/>
      <c r="AQ131" s="3"/>
      <c r="AS131" s="3"/>
      <c r="AT131" s="3"/>
      <c r="AU131" s="3"/>
      <c r="AW131" s="3"/>
      <c r="AX131" s="3"/>
      <c r="AY131" s="3"/>
      <c r="BA131" s="3"/>
      <c r="BB131" s="3"/>
      <c r="BC131" s="3"/>
      <c r="BD131" s="3"/>
      <c r="BE131" s="3"/>
    </row>
    <row r="132" spans="1:57" x14ac:dyDescent="0.25">
      <c r="A132" s="3"/>
      <c r="B132" s="3"/>
      <c r="C132" s="3"/>
      <c r="E132" s="3"/>
      <c r="F132" s="3"/>
      <c r="G132" s="3"/>
      <c r="I132" s="3"/>
      <c r="J132" s="3"/>
      <c r="K132" s="3"/>
      <c r="M132" s="3"/>
      <c r="N132" s="3"/>
      <c r="O132" s="3"/>
      <c r="Q132" s="3"/>
      <c r="R132" s="3"/>
      <c r="S132" s="3"/>
      <c r="T132" s="3"/>
      <c r="U132" s="2" t="s">
        <v>87</v>
      </c>
      <c r="V132" s="2">
        <v>1.2034</v>
      </c>
      <c r="W132" s="2">
        <f t="shared" si="5"/>
        <v>4.5999999999999375</v>
      </c>
      <c r="Y132" s="2" t="s">
        <v>87</v>
      </c>
      <c r="Z132" s="2">
        <v>1.2063999999999999</v>
      </c>
      <c r="AA132" s="2">
        <f t="shared" si="6"/>
        <v>4.6999999999999265</v>
      </c>
      <c r="AC132" s="2" t="s">
        <v>87</v>
      </c>
      <c r="AD132" s="2">
        <v>1.5172000000000001</v>
      </c>
      <c r="AE132" s="2">
        <f t="shared" si="7"/>
        <v>5.3000000000000824</v>
      </c>
      <c r="AG132" s="2" t="s">
        <v>87</v>
      </c>
      <c r="AH132" s="2">
        <v>1.5226999999999999</v>
      </c>
      <c r="AI132" s="2">
        <f t="shared" si="8"/>
        <v>5.3999999999998494</v>
      </c>
      <c r="AJ132" s="3"/>
      <c r="AK132" s="2" t="s">
        <v>87</v>
      </c>
      <c r="AL132" s="2">
        <v>1.5186999999999999</v>
      </c>
      <c r="AM132" s="2">
        <f t="shared" si="9"/>
        <v>4.9999999999998934</v>
      </c>
      <c r="AO132" s="3"/>
      <c r="AP132" s="3"/>
      <c r="AQ132" s="3"/>
      <c r="AS132" s="3"/>
      <c r="AT132" s="3"/>
      <c r="AU132" s="3"/>
      <c r="AW132" s="3"/>
      <c r="AX132" s="3"/>
      <c r="AY132" s="3"/>
      <c r="BA132" s="3"/>
      <c r="BB132" s="3"/>
      <c r="BC132" s="3"/>
      <c r="BD132" s="3"/>
      <c r="BE132" s="3"/>
    </row>
    <row r="133" spans="1:57" x14ac:dyDescent="0.25">
      <c r="A133" s="3"/>
      <c r="B133" s="3"/>
      <c r="C133" s="3"/>
      <c r="E133" s="3"/>
      <c r="F133" s="3"/>
      <c r="G133" s="3"/>
      <c r="I133" s="3"/>
      <c r="J133" s="3"/>
      <c r="K133" s="3"/>
      <c r="M133" s="3"/>
      <c r="N133" s="3"/>
      <c r="O133" s="3"/>
      <c r="Q133" s="3"/>
      <c r="R133" s="3"/>
      <c r="S133" s="3"/>
      <c r="T133" s="3"/>
      <c r="U133" s="2" t="s">
        <v>88</v>
      </c>
      <c r="V133" s="2">
        <v>1.2084999999999999</v>
      </c>
      <c r="W133" s="2">
        <f t="shared" si="5"/>
        <v>5.0999999999998824</v>
      </c>
      <c r="Y133" s="2" t="s">
        <v>88</v>
      </c>
      <c r="Z133" s="2">
        <v>1.2112000000000001</v>
      </c>
      <c r="AA133" s="2">
        <f t="shared" si="6"/>
        <v>4.8000000000001375</v>
      </c>
      <c r="AC133" s="2" t="s">
        <v>88</v>
      </c>
      <c r="AD133" s="2">
        <v>1.5222</v>
      </c>
      <c r="AE133" s="2">
        <f t="shared" si="7"/>
        <v>4.9999999999998934</v>
      </c>
      <c r="AG133" s="2" t="s">
        <v>88</v>
      </c>
      <c r="AH133" s="2">
        <v>1.5278</v>
      </c>
      <c r="AI133" s="2">
        <f t="shared" si="8"/>
        <v>5.1000000000001044</v>
      </c>
      <c r="AJ133" s="3"/>
      <c r="AK133" s="2" t="s">
        <v>88</v>
      </c>
      <c r="AL133" s="2">
        <v>1.5237000000000001</v>
      </c>
      <c r="AM133" s="2">
        <f t="shared" si="9"/>
        <v>5.0000000000001155</v>
      </c>
      <c r="AO133" s="3"/>
      <c r="AP133" s="3"/>
      <c r="AQ133" s="3"/>
      <c r="AS133" s="3"/>
      <c r="AT133" s="3"/>
      <c r="AU133" s="3"/>
      <c r="AW133" s="3"/>
      <c r="AX133" s="3"/>
      <c r="AY133" s="3"/>
      <c r="BA133" s="3"/>
      <c r="BB133" s="3"/>
      <c r="BC133" s="3"/>
      <c r="BD133" s="3"/>
      <c r="BE133" s="3"/>
    </row>
    <row r="134" spans="1:57" x14ac:dyDescent="0.25">
      <c r="A134" s="3"/>
      <c r="B134" s="3"/>
      <c r="C134" s="3"/>
      <c r="E134" s="3"/>
      <c r="F134" s="3"/>
      <c r="G134" s="3"/>
      <c r="I134" s="3"/>
      <c r="J134" s="3"/>
      <c r="K134" s="3"/>
      <c r="M134" s="3"/>
      <c r="N134" s="3"/>
      <c r="O134" s="3"/>
      <c r="Q134" s="3"/>
      <c r="R134" s="3"/>
      <c r="S134" s="3"/>
      <c r="T134" s="3"/>
      <c r="U134" s="2" t="s">
        <v>89</v>
      </c>
      <c r="V134" s="2">
        <v>1.2135</v>
      </c>
      <c r="W134" s="2">
        <f t="shared" si="5"/>
        <v>5.0000000000001155</v>
      </c>
      <c r="Y134" s="2" t="s">
        <v>89</v>
      </c>
      <c r="Z134" s="2">
        <v>1.2162999999999999</v>
      </c>
      <c r="AA134" s="2">
        <f t="shared" si="6"/>
        <v>5.0999999999998824</v>
      </c>
      <c r="AC134" s="2" t="s">
        <v>89</v>
      </c>
      <c r="AD134" s="2">
        <v>1.5271999999999999</v>
      </c>
      <c r="AE134" s="2">
        <f t="shared" si="7"/>
        <v>4.9999999999998934</v>
      </c>
      <c r="AG134" s="2" t="s">
        <v>89</v>
      </c>
      <c r="AH134" s="2">
        <v>1.5328999999999999</v>
      </c>
      <c r="AI134" s="2">
        <f t="shared" si="8"/>
        <v>5.0999999999998824</v>
      </c>
      <c r="AJ134" s="3"/>
      <c r="AK134" s="2" t="s">
        <v>89</v>
      </c>
      <c r="AL134" s="2">
        <v>1.5287999999999999</v>
      </c>
      <c r="AM134" s="2">
        <f t="shared" si="9"/>
        <v>5.0999999999998824</v>
      </c>
      <c r="AO134" s="3"/>
      <c r="AP134" s="3"/>
      <c r="AQ134" s="3"/>
      <c r="AS134" s="3"/>
      <c r="AT134" s="3"/>
      <c r="AU134" s="3"/>
      <c r="AW134" s="3"/>
      <c r="AX134" s="3"/>
      <c r="AY134" s="3"/>
      <c r="BA134" s="3"/>
      <c r="BB134" s="3"/>
      <c r="BC134" s="3"/>
      <c r="BD134" s="3"/>
      <c r="BE134" s="3"/>
    </row>
    <row r="135" spans="1:57" x14ac:dyDescent="0.25">
      <c r="A135" s="3"/>
      <c r="B135" s="3"/>
      <c r="C135" s="3"/>
      <c r="E135" s="3"/>
      <c r="F135" s="3"/>
      <c r="G135" s="3"/>
      <c r="I135" s="3"/>
      <c r="J135" s="3"/>
      <c r="K135" s="3"/>
      <c r="M135" s="3"/>
      <c r="N135" s="3"/>
      <c r="O135" s="3"/>
      <c r="Q135" s="3"/>
      <c r="R135" s="3"/>
      <c r="S135" s="3"/>
      <c r="T135" s="3"/>
      <c r="U135" s="2" t="s">
        <v>90</v>
      </c>
      <c r="V135" s="2">
        <v>1.2184999999999999</v>
      </c>
      <c r="W135" s="2">
        <f t="shared" si="5"/>
        <v>4.9999999999998934</v>
      </c>
      <c r="Y135" s="2" t="s">
        <v>90</v>
      </c>
      <c r="Z135" s="2">
        <v>1.2211000000000001</v>
      </c>
      <c r="AA135" s="2">
        <f t="shared" si="6"/>
        <v>4.8000000000001375</v>
      </c>
      <c r="AC135" s="2" t="s">
        <v>90</v>
      </c>
      <c r="AD135" s="2">
        <v>1.5323</v>
      </c>
      <c r="AE135" s="2">
        <f t="shared" si="7"/>
        <v>5.1000000000001044</v>
      </c>
      <c r="AG135" s="2" t="s">
        <v>90</v>
      </c>
      <c r="AH135" s="2">
        <v>1.5379</v>
      </c>
      <c r="AI135" s="2">
        <f t="shared" si="8"/>
        <v>5.0000000000001155</v>
      </c>
      <c r="AJ135" s="3"/>
      <c r="AK135" s="2" t="s">
        <v>90</v>
      </c>
      <c r="AL135" s="2">
        <v>1.5337000000000001</v>
      </c>
      <c r="AM135" s="2">
        <f t="shared" si="9"/>
        <v>4.9000000000001265</v>
      </c>
      <c r="AO135" s="3"/>
      <c r="AP135" s="3"/>
      <c r="AQ135" s="3"/>
      <c r="AS135" s="3"/>
      <c r="AT135" s="3"/>
      <c r="AU135" s="3"/>
      <c r="AW135" s="3"/>
      <c r="AX135" s="3"/>
      <c r="AY135" s="3"/>
      <c r="BA135" s="3"/>
      <c r="BB135" s="3"/>
      <c r="BC135" s="3"/>
      <c r="BD135" s="3"/>
      <c r="BE135" s="3"/>
    </row>
    <row r="136" spans="1:57" x14ac:dyDescent="0.25">
      <c r="A136" s="3"/>
      <c r="B136" s="3"/>
      <c r="C136" s="3"/>
      <c r="E136" s="3"/>
      <c r="F136" s="3"/>
      <c r="G136" s="3"/>
      <c r="I136" s="3"/>
      <c r="J136" s="3"/>
      <c r="K136" s="3"/>
      <c r="M136" s="3"/>
      <c r="N136" s="3"/>
      <c r="O136" s="3"/>
      <c r="Q136" s="3"/>
      <c r="R136" s="3"/>
      <c r="S136" s="3"/>
      <c r="T136" s="3"/>
      <c r="U136" s="2">
        <v>80</v>
      </c>
      <c r="V136" s="2">
        <v>1.2294</v>
      </c>
      <c r="W136" s="2">
        <f t="shared" si="5"/>
        <v>10.900000000000132</v>
      </c>
      <c r="Y136" s="2">
        <v>80</v>
      </c>
      <c r="Z136" s="2">
        <v>1.2346999999999999</v>
      </c>
      <c r="AA136" s="2">
        <f t="shared" si="6"/>
        <v>13.599999999999834</v>
      </c>
      <c r="AC136" s="2">
        <v>80</v>
      </c>
      <c r="AD136" s="2">
        <v>1.5418000000000001</v>
      </c>
      <c r="AE136" s="2">
        <f t="shared" si="7"/>
        <v>9.5000000000000639</v>
      </c>
      <c r="AG136" s="2">
        <v>80</v>
      </c>
      <c r="AH136" s="2">
        <v>1.5428999999999999</v>
      </c>
      <c r="AI136" s="2">
        <f t="shared" si="8"/>
        <v>4.9999999999998934</v>
      </c>
      <c r="AJ136" s="3"/>
      <c r="AK136" s="2">
        <v>80</v>
      </c>
      <c r="AL136" s="2">
        <v>1.5416000000000001</v>
      </c>
      <c r="AM136" s="4">
        <f t="shared" si="9"/>
        <v>7.9000000000000181</v>
      </c>
      <c r="AO136" s="3"/>
      <c r="AP136" s="3"/>
      <c r="AQ136" s="3"/>
      <c r="AS136" s="3"/>
      <c r="AT136" s="3"/>
      <c r="AU136" s="3"/>
      <c r="AW136" s="3"/>
      <c r="AX136" s="3"/>
      <c r="AY136" s="3"/>
      <c r="BA136" s="3"/>
      <c r="BB136" s="3"/>
      <c r="BC136" s="3"/>
      <c r="BD136" s="3"/>
      <c r="BE136" s="3"/>
    </row>
    <row r="137" spans="1:57" x14ac:dyDescent="0.25">
      <c r="A137" s="3"/>
      <c r="B137" s="3"/>
      <c r="C137" s="3"/>
      <c r="E137" s="3"/>
      <c r="F137" s="3"/>
      <c r="G137" s="3"/>
      <c r="I137" s="3"/>
      <c r="J137" s="3"/>
      <c r="K137" s="3"/>
      <c r="M137" s="3"/>
      <c r="N137" s="3"/>
      <c r="O137" s="3"/>
      <c r="Q137" s="3"/>
      <c r="R137" s="3"/>
      <c r="S137" s="3"/>
      <c r="T137" s="3"/>
      <c r="U137" s="2">
        <v>81</v>
      </c>
      <c r="V137" s="2">
        <v>1.2344999999999999</v>
      </c>
      <c r="W137" s="2">
        <f t="shared" si="5"/>
        <v>5.0999999999998824</v>
      </c>
      <c r="Y137" s="2">
        <v>81</v>
      </c>
      <c r="Z137" s="2">
        <v>1.2396</v>
      </c>
      <c r="AA137" s="2">
        <f t="shared" si="6"/>
        <v>4.9000000000001265</v>
      </c>
      <c r="AC137" s="2">
        <v>81</v>
      </c>
      <c r="AD137" s="2">
        <v>1.5467</v>
      </c>
      <c r="AE137" s="2">
        <f t="shared" si="7"/>
        <v>4.8999999999999044</v>
      </c>
      <c r="AG137" s="2">
        <v>81</v>
      </c>
      <c r="AH137" s="2">
        <v>1.548</v>
      </c>
      <c r="AI137" s="2">
        <f t="shared" si="8"/>
        <v>5.1000000000001044</v>
      </c>
      <c r="AJ137" s="3"/>
      <c r="AK137" s="2">
        <v>81</v>
      </c>
      <c r="AL137" s="2">
        <v>1.5465</v>
      </c>
      <c r="AM137" s="2">
        <f t="shared" si="9"/>
        <v>4.8999999999999044</v>
      </c>
      <c r="AO137" s="3"/>
      <c r="AP137" s="3"/>
      <c r="AQ137" s="3"/>
      <c r="AS137" s="3"/>
      <c r="AT137" s="3"/>
      <c r="AU137" s="3"/>
      <c r="AW137" s="3"/>
      <c r="AX137" s="3"/>
      <c r="AY137" s="3"/>
      <c r="BA137" s="3"/>
      <c r="BB137" s="3"/>
      <c r="BC137" s="3"/>
      <c r="BD137" s="3"/>
      <c r="BE137" s="3"/>
    </row>
    <row r="138" spans="1:57" x14ac:dyDescent="0.25">
      <c r="A138" s="3"/>
      <c r="B138" s="3"/>
      <c r="C138" s="3"/>
      <c r="E138" s="3"/>
      <c r="F138" s="3"/>
      <c r="G138" s="3"/>
      <c r="I138" s="3"/>
      <c r="J138" s="3"/>
      <c r="K138" s="3"/>
      <c r="M138" s="3"/>
      <c r="N138" s="3"/>
      <c r="O138" s="3"/>
      <c r="Q138" s="3"/>
      <c r="R138" s="3"/>
      <c r="S138" s="3"/>
      <c r="T138" s="3"/>
      <c r="U138" s="2">
        <v>82</v>
      </c>
      <c r="V138" s="2">
        <v>1.2395</v>
      </c>
      <c r="W138" s="2">
        <f t="shared" si="5"/>
        <v>5.0000000000001155</v>
      </c>
      <c r="Y138" s="2">
        <v>82</v>
      </c>
      <c r="Z138" s="2">
        <v>1.2445999999999999</v>
      </c>
      <c r="AA138" s="2">
        <f t="shared" si="6"/>
        <v>4.9999999999998934</v>
      </c>
      <c r="AC138" s="2">
        <v>82</v>
      </c>
      <c r="AD138" s="2">
        <v>1.5517000000000001</v>
      </c>
      <c r="AE138" s="2">
        <f t="shared" si="7"/>
        <v>5.0000000000001155</v>
      </c>
      <c r="AG138" s="2">
        <v>82</v>
      </c>
      <c r="AH138" s="2">
        <v>1.5529999999999999</v>
      </c>
      <c r="AI138" s="2">
        <f t="shared" si="8"/>
        <v>4.9999999999998934</v>
      </c>
      <c r="AJ138" s="3"/>
      <c r="AK138" s="2">
        <v>82</v>
      </c>
      <c r="AL138" s="2">
        <v>1.5513999999999999</v>
      </c>
      <c r="AM138" s="2">
        <f t="shared" si="9"/>
        <v>4.8999999999999044</v>
      </c>
      <c r="AO138" s="3"/>
      <c r="AP138" s="3"/>
      <c r="AQ138" s="3"/>
      <c r="AS138" s="3"/>
      <c r="AT138" s="3"/>
      <c r="AU138" s="3"/>
      <c r="AW138" s="3"/>
      <c r="AX138" s="3"/>
      <c r="AY138" s="3"/>
      <c r="BA138" s="3"/>
      <c r="BB138" s="3"/>
      <c r="BC138" s="3"/>
      <c r="BD138" s="3"/>
      <c r="BE138" s="3"/>
    </row>
    <row r="139" spans="1:57" x14ac:dyDescent="0.25">
      <c r="A139" s="3"/>
      <c r="B139" s="3"/>
      <c r="C139" s="3"/>
      <c r="E139" s="3"/>
      <c r="F139" s="3"/>
      <c r="G139" s="3"/>
      <c r="I139" s="3"/>
      <c r="J139" s="3"/>
      <c r="K139" s="3"/>
      <c r="M139" s="3"/>
      <c r="N139" s="3"/>
      <c r="O139" s="3"/>
      <c r="Q139" s="3"/>
      <c r="R139" s="3"/>
      <c r="S139" s="3"/>
      <c r="T139" s="3"/>
      <c r="U139" s="2">
        <v>83</v>
      </c>
      <c r="V139" s="2">
        <v>1.2444999999999999</v>
      </c>
      <c r="W139" s="2">
        <f t="shared" si="5"/>
        <v>4.9999999999998934</v>
      </c>
      <c r="Y139" s="2">
        <v>83</v>
      </c>
      <c r="Z139" s="2">
        <v>1.2495000000000001</v>
      </c>
      <c r="AA139" s="2">
        <f t="shared" si="6"/>
        <v>4.9000000000001265</v>
      </c>
      <c r="AC139" s="2">
        <v>83</v>
      </c>
      <c r="AD139" s="2">
        <v>1.5566</v>
      </c>
      <c r="AE139" s="2">
        <f t="shared" si="7"/>
        <v>4.8999999999999044</v>
      </c>
      <c r="AG139" s="2">
        <v>83</v>
      </c>
      <c r="AH139" s="2">
        <v>1.5581</v>
      </c>
      <c r="AI139" s="2">
        <f t="shared" si="8"/>
        <v>5.1000000000001044</v>
      </c>
      <c r="AJ139" s="3"/>
      <c r="AK139" s="2">
        <v>83</v>
      </c>
      <c r="AL139" s="2">
        <v>1.5564</v>
      </c>
      <c r="AM139" s="2">
        <f t="shared" si="9"/>
        <v>5.0000000000001155</v>
      </c>
      <c r="AO139" s="3"/>
      <c r="AP139" s="3"/>
      <c r="AQ139" s="3"/>
      <c r="AS139" s="3"/>
      <c r="AT139" s="3"/>
      <c r="AU139" s="3"/>
      <c r="AW139" s="3"/>
      <c r="AX139" s="3"/>
      <c r="AY139" s="3"/>
      <c r="BA139" s="3"/>
      <c r="BB139" s="3"/>
      <c r="BC139" s="3"/>
      <c r="BD139" s="3"/>
      <c r="BE139" s="3"/>
    </row>
    <row r="140" spans="1:57" x14ac:dyDescent="0.25">
      <c r="A140" s="3"/>
      <c r="B140" s="3"/>
      <c r="C140" s="3"/>
      <c r="E140" s="3"/>
      <c r="F140" s="3"/>
      <c r="G140" s="3"/>
      <c r="I140" s="3"/>
      <c r="J140" s="3"/>
      <c r="K140" s="3"/>
      <c r="M140" s="3"/>
      <c r="N140" s="3"/>
      <c r="O140" s="3"/>
      <c r="Q140" s="3"/>
      <c r="R140" s="3"/>
      <c r="S140" s="3"/>
      <c r="T140" s="3"/>
      <c r="U140" s="2">
        <v>84</v>
      </c>
      <c r="V140" s="2">
        <v>1.2491000000000001</v>
      </c>
      <c r="W140" s="2">
        <f t="shared" si="5"/>
        <v>4.6000000000001595</v>
      </c>
      <c r="Y140" s="2">
        <v>84</v>
      </c>
      <c r="Z140" s="2">
        <v>1.2543</v>
      </c>
      <c r="AA140" s="2">
        <f t="shared" si="6"/>
        <v>4.7999999999999154</v>
      </c>
      <c r="AC140" s="2">
        <v>84</v>
      </c>
      <c r="AD140" s="2">
        <v>1.5622</v>
      </c>
      <c r="AE140" s="2">
        <f t="shared" si="7"/>
        <v>5.6000000000000494</v>
      </c>
      <c r="AG140" s="2">
        <v>84</v>
      </c>
      <c r="AH140" s="2">
        <v>1.5633999999999999</v>
      </c>
      <c r="AI140" s="2">
        <f t="shared" si="8"/>
        <v>5.2999999999998604</v>
      </c>
      <c r="AJ140" s="3"/>
      <c r="AK140" s="2">
        <v>84</v>
      </c>
      <c r="AL140" s="2">
        <v>1.5616000000000001</v>
      </c>
      <c r="AM140" s="2">
        <f t="shared" si="9"/>
        <v>5.2000000000000934</v>
      </c>
      <c r="AO140" s="3"/>
      <c r="AP140" s="3"/>
      <c r="AQ140" s="3"/>
      <c r="AS140" s="3"/>
      <c r="AT140" s="3"/>
      <c r="AU140" s="3"/>
      <c r="AW140" s="3"/>
      <c r="AX140" s="3"/>
      <c r="AY140" s="3"/>
      <c r="BA140" s="3"/>
      <c r="BB140" s="3"/>
      <c r="BC140" s="3"/>
      <c r="BD140" s="3"/>
      <c r="BE140" s="3"/>
    </row>
    <row r="141" spans="1:57" x14ac:dyDescent="0.25">
      <c r="A141" s="3"/>
      <c r="B141" s="3"/>
      <c r="C141" s="3"/>
      <c r="E141" s="3"/>
      <c r="F141" s="3"/>
      <c r="G141" s="3"/>
      <c r="I141" s="3"/>
      <c r="J141" s="3"/>
      <c r="K141" s="3"/>
      <c r="M141" s="3"/>
      <c r="N141" s="3"/>
      <c r="O141" s="3"/>
      <c r="Q141" s="3"/>
      <c r="R141" s="3"/>
      <c r="S141" s="3"/>
      <c r="T141" s="3"/>
      <c r="U141" s="2">
        <v>85</v>
      </c>
      <c r="V141" s="2">
        <v>1.2543</v>
      </c>
      <c r="W141" s="2">
        <f t="shared" si="5"/>
        <v>5.1999999999998714</v>
      </c>
      <c r="Y141" s="2">
        <v>85</v>
      </c>
      <c r="Z141" s="2">
        <v>1.2591000000000001</v>
      </c>
      <c r="AA141" s="2">
        <f t="shared" si="6"/>
        <v>4.8000000000001375</v>
      </c>
      <c r="AC141" s="2">
        <v>85</v>
      </c>
      <c r="AD141" s="2">
        <v>1.5670999999999999</v>
      </c>
      <c r="AE141" s="2">
        <f t="shared" si="7"/>
        <v>4.8999999999999044</v>
      </c>
      <c r="AG141" s="2">
        <v>85</v>
      </c>
      <c r="AH141" s="2">
        <v>1.5685</v>
      </c>
      <c r="AI141" s="2">
        <f t="shared" si="8"/>
        <v>5.1000000000001044</v>
      </c>
      <c r="AJ141" s="3"/>
      <c r="AK141" s="2">
        <v>85</v>
      </c>
      <c r="AL141" s="2">
        <v>1.5665</v>
      </c>
      <c r="AM141" s="2">
        <f t="shared" si="9"/>
        <v>4.8999999999999044</v>
      </c>
      <c r="AO141" s="3"/>
      <c r="AP141" s="3"/>
      <c r="AQ141" s="3"/>
      <c r="AS141" s="3"/>
      <c r="AT141" s="3"/>
      <c r="AU141" s="3"/>
      <c r="AW141" s="3"/>
      <c r="AX141" s="3"/>
      <c r="AY141" s="3"/>
      <c r="BA141" s="3"/>
      <c r="BB141" s="3"/>
      <c r="BC141" s="3"/>
      <c r="BD141" s="3"/>
      <c r="BE141" s="3"/>
    </row>
    <row r="142" spans="1:57" x14ac:dyDescent="0.25">
      <c r="A142" s="3"/>
      <c r="B142" s="3"/>
      <c r="C142" s="3"/>
      <c r="E142" s="3"/>
      <c r="F142" s="3"/>
      <c r="G142" s="3"/>
      <c r="I142" s="3"/>
      <c r="J142" s="3"/>
      <c r="K142" s="3"/>
      <c r="M142" s="3"/>
      <c r="N142" s="3"/>
      <c r="O142" s="3"/>
      <c r="Q142" s="3"/>
      <c r="R142" s="3"/>
      <c r="S142" s="3"/>
      <c r="T142" s="3"/>
      <c r="U142" s="2">
        <v>86</v>
      </c>
      <c r="V142" s="2">
        <v>1.2592000000000001</v>
      </c>
      <c r="W142" s="2">
        <f t="shared" si="5"/>
        <v>4.9000000000001265</v>
      </c>
      <c r="Y142" s="2">
        <v>86</v>
      </c>
      <c r="Z142" s="2">
        <v>1.2642</v>
      </c>
      <c r="AA142" s="2">
        <f t="shared" si="6"/>
        <v>5.0999999999998824</v>
      </c>
      <c r="AC142" s="2">
        <v>86</v>
      </c>
      <c r="AD142" s="2">
        <v>1.5720000000000001</v>
      </c>
      <c r="AE142" s="2">
        <f t="shared" si="7"/>
        <v>4.9000000000001265</v>
      </c>
      <c r="AG142" s="2">
        <v>86</v>
      </c>
      <c r="AH142" s="2">
        <v>1.5734999999999999</v>
      </c>
      <c r="AI142" s="2">
        <f t="shared" si="8"/>
        <v>4.9999999999998934</v>
      </c>
      <c r="AJ142" s="3"/>
      <c r="AK142" s="2">
        <v>86</v>
      </c>
      <c r="AL142" s="2">
        <v>1.5714999999999999</v>
      </c>
      <c r="AM142" s="2">
        <f t="shared" si="9"/>
        <v>4.9999999999998934</v>
      </c>
      <c r="AO142" s="3"/>
      <c r="AP142" s="3"/>
      <c r="AQ142" s="3"/>
      <c r="AS142" s="3"/>
      <c r="AT142" s="3"/>
      <c r="AU142" s="3"/>
      <c r="AW142" s="3"/>
      <c r="AX142" s="3"/>
      <c r="AY142" s="3"/>
      <c r="BA142" s="3"/>
      <c r="BB142" s="3"/>
      <c r="BC142" s="3"/>
      <c r="BD142" s="3"/>
      <c r="BE142" s="3"/>
    </row>
    <row r="143" spans="1:57" x14ac:dyDescent="0.25">
      <c r="A143" s="3"/>
      <c r="B143" s="3"/>
      <c r="C143" s="3"/>
      <c r="E143" s="3"/>
      <c r="F143" s="3"/>
      <c r="G143" s="3"/>
      <c r="I143" s="3"/>
      <c r="J143" s="3"/>
      <c r="K143" s="3"/>
      <c r="M143" s="3"/>
      <c r="N143" s="3"/>
      <c r="O143" s="3"/>
      <c r="Q143" s="3"/>
      <c r="R143" s="3"/>
      <c r="S143" s="3"/>
      <c r="T143" s="3"/>
      <c r="U143" s="2">
        <v>87</v>
      </c>
      <c r="V143" s="2">
        <v>1.264</v>
      </c>
      <c r="W143" s="2">
        <f t="shared" si="5"/>
        <v>4.7999999999999154</v>
      </c>
      <c r="Y143" s="2">
        <v>87</v>
      </c>
      <c r="Z143" s="2">
        <v>1.2689999999999999</v>
      </c>
      <c r="AA143" s="2">
        <f t="shared" si="6"/>
        <v>4.7999999999999154</v>
      </c>
      <c r="AC143" s="2">
        <v>87</v>
      </c>
      <c r="AD143" s="2">
        <v>1.5769</v>
      </c>
      <c r="AE143" s="2">
        <f t="shared" si="7"/>
        <v>4.8999999999999044</v>
      </c>
      <c r="AG143" s="2">
        <v>87</v>
      </c>
      <c r="AH143" s="2">
        <v>1.5786</v>
      </c>
      <c r="AI143" s="2">
        <f t="shared" si="8"/>
        <v>5.1000000000001044</v>
      </c>
      <c r="AJ143" s="3"/>
      <c r="AK143" s="2">
        <v>87</v>
      </c>
      <c r="AL143" s="2">
        <v>1.5764</v>
      </c>
      <c r="AM143" s="2">
        <f t="shared" si="9"/>
        <v>4.9000000000001265</v>
      </c>
      <c r="AO143" s="3"/>
      <c r="AP143" s="3"/>
      <c r="AQ143" s="3"/>
      <c r="AS143" s="3"/>
      <c r="AT143" s="3"/>
      <c r="AU143" s="3"/>
      <c r="AW143" s="3"/>
      <c r="AX143" s="3"/>
      <c r="AY143" s="3"/>
      <c r="BA143" s="3"/>
      <c r="BB143" s="3"/>
      <c r="BC143" s="3"/>
      <c r="BD143" s="3"/>
      <c r="BE143" s="3"/>
    </row>
    <row r="144" spans="1:57" x14ac:dyDescent="0.25">
      <c r="A144" s="3"/>
      <c r="B144" s="3"/>
      <c r="C144" s="3"/>
      <c r="E144" s="3"/>
      <c r="F144" s="3"/>
      <c r="G144" s="3"/>
      <c r="I144" s="3"/>
      <c r="J144" s="3"/>
      <c r="K144" s="3"/>
      <c r="M144" s="3"/>
      <c r="N144" s="3"/>
      <c r="O144" s="3"/>
      <c r="Q144" s="3"/>
      <c r="R144" s="3"/>
      <c r="S144" s="3"/>
      <c r="T144" s="3"/>
      <c r="U144" s="2">
        <v>88</v>
      </c>
      <c r="V144" s="2">
        <v>1.2687999999999999</v>
      </c>
      <c r="W144" s="2">
        <f t="shared" si="5"/>
        <v>4.7999999999999154</v>
      </c>
      <c r="Y144" s="2">
        <v>88</v>
      </c>
      <c r="Z144" s="2">
        <v>1.2739</v>
      </c>
      <c r="AA144" s="2">
        <f t="shared" si="6"/>
        <v>4.9000000000001265</v>
      </c>
      <c r="AC144" s="2">
        <v>88</v>
      </c>
      <c r="AD144" s="2">
        <v>1.5818000000000001</v>
      </c>
      <c r="AE144" s="2">
        <f t="shared" si="7"/>
        <v>4.9000000000001265</v>
      </c>
      <c r="AG144" s="2">
        <v>88</v>
      </c>
      <c r="AH144" s="2">
        <v>1.5834999999999999</v>
      </c>
      <c r="AI144" s="2">
        <f t="shared" si="8"/>
        <v>4.8999999999999044</v>
      </c>
      <c r="AJ144" s="3"/>
      <c r="AK144" s="2">
        <v>88</v>
      </c>
      <c r="AL144" s="2">
        <v>1.5812999999999999</v>
      </c>
      <c r="AM144" s="2">
        <f t="shared" si="9"/>
        <v>4.8999999999999044</v>
      </c>
      <c r="AO144" s="3"/>
      <c r="AP144" s="3"/>
      <c r="AQ144" s="3"/>
      <c r="AS144" s="3"/>
      <c r="AT144" s="3"/>
      <c r="AU144" s="3"/>
      <c r="AW144" s="3"/>
      <c r="AX144" s="3"/>
      <c r="AY144" s="3"/>
      <c r="BA144" s="3"/>
      <c r="BB144" s="3"/>
      <c r="BC144" s="3"/>
      <c r="BD144" s="3"/>
      <c r="BE144" s="3"/>
    </row>
    <row r="145" spans="1:57" x14ac:dyDescent="0.25">
      <c r="A145" s="3"/>
      <c r="B145" s="3"/>
      <c r="C145" s="3"/>
      <c r="E145" s="3"/>
      <c r="F145" s="3"/>
      <c r="G145" s="3"/>
      <c r="I145" s="3"/>
      <c r="J145" s="3"/>
      <c r="K145" s="3"/>
      <c r="M145" s="3"/>
      <c r="N145" s="3"/>
      <c r="O145" s="3"/>
      <c r="Q145" s="3"/>
      <c r="R145" s="3"/>
      <c r="S145" s="3"/>
      <c r="T145" s="3"/>
      <c r="U145" s="2">
        <v>89</v>
      </c>
      <c r="V145" s="2">
        <v>1.2738</v>
      </c>
      <c r="W145" s="2">
        <f t="shared" si="5"/>
        <v>5.0000000000001155</v>
      </c>
      <c r="Y145" s="2">
        <v>89</v>
      </c>
      <c r="Z145" s="2">
        <v>1.2786999999999999</v>
      </c>
      <c r="AA145" s="2">
        <f t="shared" si="6"/>
        <v>4.7999999999999154</v>
      </c>
      <c r="AC145" s="2">
        <v>89</v>
      </c>
      <c r="AD145" s="2">
        <v>1.5867</v>
      </c>
      <c r="AE145" s="2">
        <f t="shared" si="7"/>
        <v>4.8999999999999044</v>
      </c>
      <c r="AG145" s="2">
        <v>89</v>
      </c>
      <c r="AH145" s="2">
        <v>1.5886</v>
      </c>
      <c r="AI145" s="2">
        <f t="shared" si="8"/>
        <v>5.1000000000001044</v>
      </c>
      <c r="AJ145" s="3"/>
      <c r="AK145" s="2">
        <v>89</v>
      </c>
      <c r="AL145" s="2">
        <v>1.5863</v>
      </c>
      <c r="AM145" s="2">
        <f t="shared" si="9"/>
        <v>5.0000000000001155</v>
      </c>
      <c r="AO145" s="3"/>
      <c r="AP145" s="3"/>
      <c r="AQ145" s="3"/>
      <c r="AS145" s="3"/>
      <c r="AT145" s="3"/>
      <c r="AU145" s="3"/>
      <c r="AW145" s="3"/>
      <c r="AX145" s="3"/>
      <c r="AY145" s="3"/>
      <c r="BA145" s="3"/>
      <c r="BB145" s="3"/>
      <c r="BC145" s="3"/>
      <c r="BD145" s="3"/>
      <c r="BE145" s="3"/>
    </row>
    <row r="146" spans="1:57" x14ac:dyDescent="0.25">
      <c r="A146" s="3"/>
      <c r="B146" s="3"/>
      <c r="C146" s="3"/>
      <c r="E146" s="3"/>
      <c r="F146" s="3"/>
      <c r="G146" s="3"/>
      <c r="I146" s="3"/>
      <c r="J146" s="3"/>
      <c r="K146" s="3"/>
      <c r="M146" s="3"/>
      <c r="N146" s="3"/>
      <c r="O146" s="3"/>
      <c r="Q146" s="3"/>
      <c r="R146" s="3"/>
      <c r="S146" s="3"/>
      <c r="T146" s="3"/>
      <c r="U146" s="2" t="s">
        <v>91</v>
      </c>
      <c r="V146" s="2">
        <v>1.2788999999999999</v>
      </c>
      <c r="W146" s="2">
        <f t="shared" si="5"/>
        <v>5.0999999999998824</v>
      </c>
      <c r="Y146" s="2" t="s">
        <v>91</v>
      </c>
      <c r="Z146" s="2">
        <v>1.2837000000000001</v>
      </c>
      <c r="AA146" s="2">
        <f t="shared" si="6"/>
        <v>5.0000000000001155</v>
      </c>
      <c r="AC146" s="2" t="s">
        <v>91</v>
      </c>
      <c r="AD146" s="2">
        <v>1.5916999999999999</v>
      </c>
      <c r="AE146" s="2">
        <f t="shared" si="7"/>
        <v>4.9999999999998934</v>
      </c>
      <c r="AG146" s="2" t="s">
        <v>91</v>
      </c>
      <c r="AH146" s="2">
        <v>1.5935999999999999</v>
      </c>
      <c r="AI146" s="2">
        <f t="shared" si="8"/>
        <v>4.9999999999998934</v>
      </c>
      <c r="AJ146" s="3"/>
      <c r="AK146" s="2" t="s">
        <v>91</v>
      </c>
      <c r="AL146" s="2">
        <v>1.5911999999999999</v>
      </c>
      <c r="AM146" s="2">
        <f t="shared" si="9"/>
        <v>4.8999999999999044</v>
      </c>
      <c r="AO146" s="3"/>
      <c r="AP146" s="3"/>
      <c r="AQ146" s="3"/>
      <c r="AS146" s="3"/>
      <c r="AT146" s="3"/>
      <c r="AU146" s="3"/>
      <c r="AW146" s="3"/>
      <c r="AX146" s="3"/>
      <c r="AY146" s="3"/>
      <c r="BA146" s="3"/>
      <c r="BB146" s="3"/>
      <c r="BC146" s="3"/>
      <c r="BD146" s="3"/>
      <c r="BE146" s="3"/>
    </row>
    <row r="147" spans="1:57" x14ac:dyDescent="0.25">
      <c r="A147" s="3"/>
      <c r="B147" s="3"/>
      <c r="C147" s="3"/>
      <c r="E147" s="3"/>
      <c r="F147" s="3"/>
      <c r="G147" s="3"/>
      <c r="I147" s="3"/>
      <c r="J147" s="3"/>
      <c r="K147" s="3"/>
      <c r="M147" s="3"/>
      <c r="N147" s="3"/>
      <c r="O147" s="3"/>
      <c r="Q147" s="3"/>
      <c r="R147" s="3"/>
      <c r="S147" s="3"/>
      <c r="T147" s="3"/>
      <c r="U147" s="2" t="s">
        <v>92</v>
      </c>
      <c r="V147" s="2">
        <v>1.284</v>
      </c>
      <c r="W147" s="2">
        <f t="shared" si="5"/>
        <v>5.1000000000001044</v>
      </c>
      <c r="Y147" s="2" t="s">
        <v>92</v>
      </c>
      <c r="Z147" s="2">
        <v>1.2886</v>
      </c>
      <c r="AA147" s="2">
        <f t="shared" si="6"/>
        <v>4.8999999999999044</v>
      </c>
      <c r="AC147" s="2" t="s">
        <v>92</v>
      </c>
      <c r="AD147" s="2">
        <v>1.5967</v>
      </c>
      <c r="AE147" s="2">
        <f t="shared" si="7"/>
        <v>5.0000000000001155</v>
      </c>
      <c r="AG147" s="2" t="s">
        <v>92</v>
      </c>
      <c r="AH147" s="2">
        <v>1.5987</v>
      </c>
      <c r="AI147" s="2">
        <f t="shared" si="8"/>
        <v>5.1000000000001044</v>
      </c>
      <c r="AJ147" s="3"/>
      <c r="AK147" s="2" t="s">
        <v>92</v>
      </c>
      <c r="AL147" s="2">
        <v>1.5962000000000001</v>
      </c>
      <c r="AM147" s="2">
        <f t="shared" si="9"/>
        <v>5.0000000000001155</v>
      </c>
      <c r="AO147" s="3"/>
      <c r="AP147" s="3"/>
      <c r="AQ147" s="3"/>
      <c r="AS147" s="3"/>
      <c r="AT147" s="3"/>
      <c r="AU147" s="3"/>
      <c r="AW147" s="3"/>
      <c r="AX147" s="3"/>
      <c r="AY147" s="3"/>
      <c r="BA147" s="3"/>
      <c r="BB147" s="3"/>
      <c r="BC147" s="3"/>
      <c r="BD147" s="3"/>
      <c r="BE147" s="3"/>
    </row>
    <row r="148" spans="1:57" x14ac:dyDescent="0.25">
      <c r="A148" s="3"/>
      <c r="B148" s="3"/>
      <c r="C148" s="3"/>
      <c r="E148" s="3"/>
      <c r="F148" s="3"/>
      <c r="G148" s="3"/>
      <c r="I148" s="3"/>
      <c r="J148" s="3"/>
      <c r="K148" s="3"/>
      <c r="M148" s="3"/>
      <c r="N148" s="3"/>
      <c r="O148" s="3"/>
      <c r="Q148" s="3"/>
      <c r="R148" s="3"/>
      <c r="S148" s="3"/>
      <c r="T148" s="3"/>
      <c r="U148" s="2" t="s">
        <v>93</v>
      </c>
      <c r="V148" s="2">
        <v>1.2886</v>
      </c>
      <c r="W148" s="2">
        <f t="shared" si="5"/>
        <v>4.5999999999999375</v>
      </c>
      <c r="Y148" s="2" t="s">
        <v>93</v>
      </c>
      <c r="Z148" s="2">
        <v>1.2934000000000001</v>
      </c>
      <c r="AA148" s="2">
        <f t="shared" si="6"/>
        <v>4.8000000000001375</v>
      </c>
      <c r="AC148" s="2" t="s">
        <v>93</v>
      </c>
      <c r="AD148" s="2">
        <v>1.6020000000000001</v>
      </c>
      <c r="AE148" s="2">
        <f t="shared" si="7"/>
        <v>5.3000000000000824</v>
      </c>
      <c r="AG148" s="2" t="s">
        <v>93</v>
      </c>
      <c r="AH148" s="2">
        <v>1.6040000000000001</v>
      </c>
      <c r="AI148" s="2">
        <f t="shared" si="8"/>
        <v>5.3000000000000824</v>
      </c>
      <c r="AJ148" s="3"/>
      <c r="AK148" s="2" t="s">
        <v>93</v>
      </c>
      <c r="AL148" s="2">
        <v>1.6012</v>
      </c>
      <c r="AM148" s="2">
        <f t="shared" si="9"/>
        <v>4.9999999999998934</v>
      </c>
      <c r="AO148" s="3"/>
      <c r="AP148" s="3"/>
      <c r="AQ148" s="3"/>
      <c r="AS148" s="3"/>
      <c r="AT148" s="3"/>
      <c r="AU148" s="3"/>
      <c r="AW148" s="3"/>
      <c r="AX148" s="3"/>
      <c r="AY148" s="3"/>
      <c r="BA148" s="3"/>
      <c r="BB148" s="3"/>
      <c r="BC148" s="3"/>
      <c r="BD148" s="3"/>
      <c r="BE148" s="3"/>
    </row>
    <row r="149" spans="1:57" x14ac:dyDescent="0.25">
      <c r="A149" s="3"/>
      <c r="B149" s="3"/>
      <c r="C149" s="3"/>
      <c r="E149" s="3"/>
      <c r="F149" s="3"/>
      <c r="G149" s="3"/>
      <c r="I149" s="3"/>
      <c r="J149" s="3"/>
      <c r="K149" s="3"/>
      <c r="M149" s="3"/>
      <c r="N149" s="3"/>
      <c r="O149" s="3"/>
      <c r="Q149" s="3"/>
      <c r="R149" s="3"/>
      <c r="S149" s="3"/>
      <c r="T149" s="3"/>
      <c r="U149" s="2" t="s">
        <v>94</v>
      </c>
      <c r="V149" s="2">
        <v>1.2934000000000001</v>
      </c>
      <c r="W149" s="2">
        <f t="shared" si="5"/>
        <v>4.8000000000001375</v>
      </c>
      <c r="Y149" s="2" t="s">
        <v>94</v>
      </c>
      <c r="Z149" s="2">
        <v>1.2982</v>
      </c>
      <c r="AA149" s="2">
        <f t="shared" si="6"/>
        <v>4.7999999999999154</v>
      </c>
      <c r="AC149" s="2" t="s">
        <v>94</v>
      </c>
      <c r="AD149" s="2">
        <v>1.607</v>
      </c>
      <c r="AE149" s="2">
        <f t="shared" si="7"/>
        <v>4.9999999999998934</v>
      </c>
      <c r="AG149" s="2" t="s">
        <v>94</v>
      </c>
      <c r="AH149" s="2">
        <v>1.609</v>
      </c>
      <c r="AI149" s="2">
        <f t="shared" si="8"/>
        <v>4.9999999999998934</v>
      </c>
      <c r="AJ149" s="3"/>
      <c r="AK149" s="2" t="s">
        <v>94</v>
      </c>
      <c r="AL149" s="2">
        <v>1.6062000000000001</v>
      </c>
      <c r="AM149" s="2">
        <f t="shared" si="9"/>
        <v>5.0000000000001155</v>
      </c>
      <c r="AO149" s="3"/>
      <c r="AP149" s="3"/>
      <c r="AQ149" s="3"/>
      <c r="AS149" s="3"/>
      <c r="AT149" s="3"/>
      <c r="AU149" s="3"/>
      <c r="AW149" s="3"/>
      <c r="AX149" s="3"/>
      <c r="AY149" s="3"/>
      <c r="BA149" s="3"/>
      <c r="BB149" s="3"/>
      <c r="BC149" s="3"/>
      <c r="BD149" s="3"/>
      <c r="BE149" s="3"/>
    </row>
    <row r="150" spans="1:57" x14ac:dyDescent="0.25">
      <c r="A150" s="3"/>
      <c r="B150" s="3"/>
      <c r="C150" s="3"/>
      <c r="E150" s="3"/>
      <c r="F150" s="3"/>
      <c r="G150" s="3"/>
      <c r="I150" s="3"/>
      <c r="J150" s="3"/>
      <c r="K150" s="3"/>
      <c r="M150" s="3"/>
      <c r="N150" s="3"/>
      <c r="O150" s="3"/>
      <c r="Q150" s="3"/>
      <c r="R150" s="3"/>
      <c r="S150" s="3"/>
      <c r="T150" s="3"/>
      <c r="U150" s="2" t="s">
        <v>95</v>
      </c>
      <c r="V150" s="2">
        <v>1.2985</v>
      </c>
      <c r="W150" s="2">
        <f t="shared" si="5"/>
        <v>5.0999999999998824</v>
      </c>
      <c r="Y150" s="2" t="s">
        <v>95</v>
      </c>
      <c r="Z150" s="2">
        <v>1.3031999999999999</v>
      </c>
      <c r="AA150" s="2">
        <f t="shared" si="6"/>
        <v>4.9999999999998934</v>
      </c>
      <c r="AC150" s="2" t="s">
        <v>95</v>
      </c>
      <c r="AD150" s="2">
        <v>1.6119000000000001</v>
      </c>
      <c r="AE150" s="2">
        <f t="shared" si="7"/>
        <v>4.9000000000001265</v>
      </c>
      <c r="AG150" s="2" t="s">
        <v>95</v>
      </c>
      <c r="AH150" s="2">
        <v>1.6141000000000001</v>
      </c>
      <c r="AI150" s="2">
        <f t="shared" si="8"/>
        <v>5.1000000000001044</v>
      </c>
      <c r="AJ150" s="3"/>
      <c r="AK150" s="2" t="s">
        <v>95</v>
      </c>
      <c r="AL150" s="2">
        <v>1.6112</v>
      </c>
      <c r="AM150" s="2">
        <f t="shared" si="9"/>
        <v>4.9999999999998934</v>
      </c>
      <c r="AO150" s="3"/>
      <c r="AP150" s="3"/>
      <c r="AQ150" s="3"/>
      <c r="AS150" s="3"/>
      <c r="AT150" s="3"/>
      <c r="AU150" s="3"/>
      <c r="AW150" s="3"/>
      <c r="AX150" s="3"/>
      <c r="AY150" s="3"/>
      <c r="BA150" s="3"/>
      <c r="BB150" s="3"/>
      <c r="BC150" s="3"/>
      <c r="BD150" s="3"/>
      <c r="BE150" s="3"/>
    </row>
    <row r="151" spans="1:57" x14ac:dyDescent="0.25">
      <c r="A151" s="3"/>
      <c r="B151" s="3"/>
      <c r="C151" s="3"/>
      <c r="E151" s="3"/>
      <c r="F151" s="3"/>
      <c r="G151" s="3"/>
      <c r="I151" s="3"/>
      <c r="J151" s="3"/>
      <c r="K151" s="3"/>
      <c r="M151" s="3"/>
      <c r="N151" s="3"/>
      <c r="O151" s="3"/>
      <c r="Q151" s="3"/>
      <c r="R151" s="3"/>
      <c r="S151" s="3"/>
      <c r="T151" s="3"/>
      <c r="U151" s="2" t="s">
        <v>96</v>
      </c>
      <c r="V151" s="2">
        <v>1.3033999999999999</v>
      </c>
      <c r="W151" s="2">
        <f t="shared" si="5"/>
        <v>4.8999999999999044</v>
      </c>
      <c r="Y151" s="2" t="s">
        <v>96</v>
      </c>
      <c r="Z151" s="2">
        <v>1.3080000000000001</v>
      </c>
      <c r="AA151" s="2">
        <f t="shared" si="6"/>
        <v>4.8000000000001375</v>
      </c>
      <c r="AC151" s="2" t="s">
        <v>96</v>
      </c>
      <c r="AD151" s="2">
        <v>1.6168</v>
      </c>
      <c r="AE151" s="2">
        <f t="shared" si="7"/>
        <v>4.8999999999999044</v>
      </c>
      <c r="AG151" s="2" t="s">
        <v>96</v>
      </c>
      <c r="AH151" s="2">
        <v>1.6191</v>
      </c>
      <c r="AI151" s="2">
        <f t="shared" si="8"/>
        <v>4.9999999999998934</v>
      </c>
      <c r="AJ151" s="3"/>
      <c r="AK151" s="2" t="s">
        <v>96</v>
      </c>
      <c r="AL151" s="2">
        <v>1.6161000000000001</v>
      </c>
      <c r="AM151" s="2">
        <f t="shared" si="9"/>
        <v>4.9000000000001265</v>
      </c>
      <c r="AO151" s="3"/>
      <c r="AP151" s="3"/>
      <c r="AQ151" s="3"/>
      <c r="AS151" s="3"/>
      <c r="AT151" s="3"/>
      <c r="AU151" s="3"/>
      <c r="AW151" s="3"/>
      <c r="AX151" s="3"/>
      <c r="AY151" s="3"/>
      <c r="BA151" s="3"/>
      <c r="BB151" s="3"/>
      <c r="BC151" s="3"/>
      <c r="BD151" s="3"/>
      <c r="BE151" s="3"/>
    </row>
    <row r="152" spans="1:57" x14ac:dyDescent="0.25">
      <c r="A152" s="3"/>
      <c r="B152" s="3"/>
      <c r="C152" s="3"/>
      <c r="E152" s="3"/>
      <c r="F152" s="3"/>
      <c r="G152" s="3"/>
      <c r="I152" s="3"/>
      <c r="J152" s="3"/>
      <c r="K152" s="3"/>
      <c r="M152" s="3"/>
      <c r="N152" s="3"/>
      <c r="O152" s="3"/>
      <c r="Q152" s="3"/>
      <c r="R152" s="3"/>
      <c r="S152" s="3"/>
      <c r="T152" s="3"/>
      <c r="U152" s="2">
        <v>90</v>
      </c>
      <c r="V152" s="2">
        <v>1.3080000000000001</v>
      </c>
      <c r="W152" s="2">
        <f t="shared" si="5"/>
        <v>4.6000000000001595</v>
      </c>
      <c r="Y152" s="2">
        <v>90</v>
      </c>
      <c r="Z152" s="2">
        <v>1.3130999999999999</v>
      </c>
      <c r="AA152" s="2">
        <f t="shared" si="6"/>
        <v>5.0999999999998824</v>
      </c>
      <c r="AC152" s="2">
        <v>90</v>
      </c>
      <c r="AD152" s="2">
        <v>1.6220000000000001</v>
      </c>
      <c r="AE152" s="2">
        <f t="shared" si="7"/>
        <v>5.2000000000000934</v>
      </c>
      <c r="AG152" s="2">
        <v>90</v>
      </c>
      <c r="AH152" s="2">
        <v>1.6231</v>
      </c>
      <c r="AI152" s="2">
        <f t="shared" si="8"/>
        <v>4.0000000000000036</v>
      </c>
      <c r="AJ152" s="3"/>
      <c r="AK152" s="2">
        <v>90</v>
      </c>
      <c r="AL152" s="2">
        <v>1.621</v>
      </c>
      <c r="AM152" s="2">
        <f t="shared" si="9"/>
        <v>4.8999999999999044</v>
      </c>
      <c r="AO152" s="3"/>
      <c r="AP152" s="3"/>
      <c r="AQ152" s="3"/>
      <c r="AS152" s="3"/>
      <c r="AT152" s="3"/>
      <c r="AU152" s="3"/>
      <c r="AW152" s="3"/>
      <c r="AX152" s="3"/>
      <c r="AY152" s="3"/>
      <c r="BA152" s="3"/>
      <c r="BB152" s="3"/>
      <c r="BC152" s="3"/>
      <c r="BD152" s="3"/>
      <c r="BE152" s="3"/>
    </row>
    <row r="153" spans="1:57" x14ac:dyDescent="0.25">
      <c r="A153" s="3"/>
      <c r="B153" s="3"/>
      <c r="C153" s="3"/>
      <c r="E153" s="3"/>
      <c r="F153" s="3"/>
      <c r="G153" s="3"/>
      <c r="I153" s="3"/>
      <c r="J153" s="3"/>
      <c r="K153" s="3"/>
      <c r="M153" s="3"/>
      <c r="N153" s="3"/>
      <c r="O153" s="3"/>
      <c r="Q153" s="3"/>
      <c r="R153" s="3"/>
      <c r="S153" s="3"/>
      <c r="T153" s="3"/>
      <c r="U153" s="2">
        <v>91</v>
      </c>
      <c r="V153" s="2">
        <v>1.3130999999999999</v>
      </c>
      <c r="W153" s="2">
        <f t="shared" si="5"/>
        <v>5.0999999999998824</v>
      </c>
      <c r="Y153" s="2">
        <v>91</v>
      </c>
      <c r="Z153" s="2">
        <v>1.3179000000000001</v>
      </c>
      <c r="AA153" s="2">
        <f t="shared" si="6"/>
        <v>4.8000000000001375</v>
      </c>
      <c r="AC153" s="2">
        <v>91</v>
      </c>
      <c r="AD153" s="2">
        <v>1.627</v>
      </c>
      <c r="AE153" s="2">
        <f t="shared" si="7"/>
        <v>4.9999999999998934</v>
      </c>
      <c r="AG153" s="2">
        <v>91</v>
      </c>
      <c r="AH153" s="2">
        <v>1.6281000000000001</v>
      </c>
      <c r="AI153" s="2">
        <f t="shared" si="8"/>
        <v>5.0000000000001155</v>
      </c>
      <c r="AJ153" s="3"/>
      <c r="AK153" s="2">
        <v>91</v>
      </c>
      <c r="AL153" s="2">
        <v>1.6258999999999999</v>
      </c>
      <c r="AM153" s="2">
        <f t="shared" si="9"/>
        <v>4.8999999999999044</v>
      </c>
      <c r="AO153" s="3"/>
      <c r="AP153" s="3"/>
      <c r="AQ153" s="3"/>
      <c r="AS153" s="3"/>
      <c r="AT153" s="3"/>
      <c r="AU153" s="3"/>
      <c r="AW153" s="3"/>
      <c r="AX153" s="3"/>
      <c r="AY153" s="3"/>
      <c r="BA153" s="3"/>
      <c r="BB153" s="3"/>
      <c r="BC153" s="3"/>
      <c r="BD153" s="3"/>
      <c r="BE153" s="3"/>
    </row>
    <row r="154" spans="1:57" x14ac:dyDescent="0.25">
      <c r="A154" s="3"/>
      <c r="B154" s="3"/>
      <c r="C154" s="3"/>
      <c r="E154" s="3"/>
      <c r="F154" s="3"/>
      <c r="G154" s="3"/>
      <c r="I154" s="3"/>
      <c r="J154" s="3"/>
      <c r="K154" s="3"/>
      <c r="M154" s="3"/>
      <c r="N154" s="3"/>
      <c r="O154" s="3"/>
      <c r="Q154" s="3"/>
      <c r="R154" s="3"/>
      <c r="S154" s="3"/>
      <c r="T154" s="3"/>
      <c r="U154" s="2">
        <v>92</v>
      </c>
      <c r="V154" s="2">
        <v>1.3182</v>
      </c>
      <c r="W154" s="2">
        <f t="shared" si="5"/>
        <v>5.1000000000001044</v>
      </c>
      <c r="Y154" s="2">
        <v>92</v>
      </c>
      <c r="Z154" s="2">
        <v>1.3229</v>
      </c>
      <c r="AA154" s="2">
        <f t="shared" si="6"/>
        <v>4.9999999999998934</v>
      </c>
      <c r="AC154" s="2">
        <v>92</v>
      </c>
      <c r="AD154" s="2">
        <v>1.6321000000000001</v>
      </c>
      <c r="AE154" s="2">
        <f t="shared" si="7"/>
        <v>5.1000000000001044</v>
      </c>
      <c r="AG154" s="2">
        <v>92</v>
      </c>
      <c r="AH154" s="2">
        <v>1.6332</v>
      </c>
      <c r="AI154" s="2">
        <f t="shared" si="8"/>
        <v>5.0999999999998824</v>
      </c>
      <c r="AJ154" s="3"/>
      <c r="AK154" s="2">
        <v>92</v>
      </c>
      <c r="AL154" s="2">
        <v>1.6309</v>
      </c>
      <c r="AM154" s="2">
        <f t="shared" si="9"/>
        <v>5.0000000000001155</v>
      </c>
      <c r="AO154" s="3"/>
      <c r="AP154" s="3"/>
      <c r="AQ154" s="3"/>
      <c r="AS154" s="3"/>
      <c r="AT154" s="3"/>
      <c r="AU154" s="3"/>
      <c r="AW154" s="3"/>
      <c r="AX154" s="3"/>
      <c r="AY154" s="3"/>
      <c r="BA154" s="3"/>
      <c r="BB154" s="3"/>
      <c r="BC154" s="3"/>
      <c r="BD154" s="3"/>
      <c r="BE154" s="3"/>
    </row>
    <row r="155" spans="1:57" x14ac:dyDescent="0.25">
      <c r="A155" s="3"/>
      <c r="B155" s="3"/>
      <c r="C155" s="3"/>
      <c r="E155" s="3"/>
      <c r="F155" s="3"/>
      <c r="G155" s="3"/>
      <c r="I155" s="3"/>
      <c r="J155" s="3"/>
      <c r="K155" s="3"/>
      <c r="M155" s="3"/>
      <c r="N155" s="3"/>
      <c r="O155" s="3"/>
      <c r="Q155" s="3"/>
      <c r="R155" s="3"/>
      <c r="S155" s="3"/>
      <c r="T155" s="3"/>
      <c r="U155" s="2">
        <v>93</v>
      </c>
      <c r="V155" s="2">
        <v>1.323</v>
      </c>
      <c r="W155" s="2">
        <f t="shared" si="5"/>
        <v>4.7999999999999154</v>
      </c>
      <c r="Y155" s="2">
        <v>93</v>
      </c>
      <c r="Z155" s="2">
        <v>1.3277000000000001</v>
      </c>
      <c r="AA155" s="2">
        <f t="shared" si="6"/>
        <v>4.8000000000001375</v>
      </c>
      <c r="AC155" s="2">
        <v>93</v>
      </c>
      <c r="AD155" s="2">
        <v>1.6369</v>
      </c>
      <c r="AE155" s="2">
        <f t="shared" si="7"/>
        <v>4.7999999999999154</v>
      </c>
      <c r="AG155" s="2">
        <v>93</v>
      </c>
      <c r="AH155" s="2">
        <v>1.6382000000000001</v>
      </c>
      <c r="AI155" s="2">
        <f t="shared" si="8"/>
        <v>5.0000000000001155</v>
      </c>
      <c r="AJ155" s="3"/>
      <c r="AK155" s="2">
        <v>93</v>
      </c>
      <c r="AL155" s="2">
        <v>1.6358999999999999</v>
      </c>
      <c r="AM155" s="2">
        <f t="shared" si="9"/>
        <v>4.9999999999998934</v>
      </c>
      <c r="AO155" s="3"/>
      <c r="AP155" s="3"/>
      <c r="AQ155" s="3"/>
      <c r="AS155" s="3"/>
      <c r="AT155" s="3"/>
      <c r="AU155" s="3"/>
      <c r="AW155" s="3"/>
      <c r="AX155" s="3"/>
      <c r="AY155" s="3"/>
      <c r="BA155" s="3"/>
      <c r="BB155" s="3"/>
      <c r="BC155" s="3"/>
      <c r="BD155" s="3"/>
      <c r="BE155" s="3"/>
    </row>
    <row r="156" spans="1:57" x14ac:dyDescent="0.25">
      <c r="A156" s="3"/>
      <c r="B156" s="3"/>
      <c r="C156" s="3"/>
      <c r="E156" s="3"/>
      <c r="F156" s="3"/>
      <c r="G156" s="3"/>
      <c r="I156" s="3"/>
      <c r="J156" s="3"/>
      <c r="K156" s="3"/>
      <c r="M156" s="3"/>
      <c r="N156" s="3"/>
      <c r="O156" s="3"/>
      <c r="Q156" s="3"/>
      <c r="R156" s="3"/>
      <c r="S156" s="3"/>
      <c r="T156" s="3"/>
      <c r="U156" s="2">
        <v>94</v>
      </c>
      <c r="V156" s="2">
        <v>1.3278000000000001</v>
      </c>
      <c r="W156" s="2">
        <f t="shared" si="5"/>
        <v>4.8000000000001375</v>
      </c>
      <c r="Y156" s="2">
        <v>94</v>
      </c>
      <c r="Z156" s="2">
        <v>1.3324</v>
      </c>
      <c r="AA156" s="2">
        <f t="shared" si="6"/>
        <v>4.6999999999999265</v>
      </c>
      <c r="AC156" s="2">
        <v>94</v>
      </c>
      <c r="AD156" s="2">
        <v>1.6423000000000001</v>
      </c>
      <c r="AE156" s="2">
        <f t="shared" si="7"/>
        <v>5.4000000000000714</v>
      </c>
      <c r="AG156" s="2">
        <v>94</v>
      </c>
      <c r="AH156" s="2">
        <v>1.6435</v>
      </c>
      <c r="AI156" s="2">
        <f t="shared" si="8"/>
        <v>5.2999999999998604</v>
      </c>
      <c r="AJ156" s="3"/>
      <c r="AK156" s="2">
        <v>94</v>
      </c>
      <c r="AL156" s="2">
        <v>1.6409</v>
      </c>
      <c r="AM156" s="2">
        <f t="shared" si="9"/>
        <v>5.0000000000001155</v>
      </c>
      <c r="AO156" s="3"/>
      <c r="AP156" s="3"/>
      <c r="AQ156" s="3"/>
      <c r="AS156" s="3"/>
      <c r="AT156" s="3"/>
      <c r="AU156" s="3"/>
      <c r="AW156" s="3"/>
      <c r="AX156" s="3"/>
      <c r="AY156" s="3"/>
      <c r="BA156" s="3"/>
      <c r="BB156" s="3"/>
      <c r="BC156" s="3"/>
      <c r="BD156" s="3"/>
      <c r="BE156" s="3"/>
    </row>
    <row r="157" spans="1:57" x14ac:dyDescent="0.25">
      <c r="A157" s="3"/>
      <c r="B157" s="3"/>
      <c r="C157" s="3"/>
      <c r="E157" s="3"/>
      <c r="F157" s="3"/>
      <c r="G157" s="3"/>
      <c r="I157" s="3"/>
      <c r="J157" s="3"/>
      <c r="K157" s="3"/>
      <c r="M157" s="3"/>
      <c r="N157" s="3"/>
      <c r="O157" s="3"/>
      <c r="Q157" s="3"/>
      <c r="R157" s="3"/>
      <c r="S157" s="3"/>
      <c r="T157" s="3"/>
      <c r="U157" s="2">
        <v>95</v>
      </c>
      <c r="V157" s="2">
        <v>1.3324</v>
      </c>
      <c r="W157" s="2">
        <f t="shared" si="5"/>
        <v>4.5999999999999375</v>
      </c>
      <c r="Y157" s="2">
        <v>95</v>
      </c>
      <c r="Z157" s="2">
        <v>1.3372999999999999</v>
      </c>
      <c r="AA157" s="2">
        <f t="shared" si="6"/>
        <v>4.8999999999999044</v>
      </c>
      <c r="AC157" s="2">
        <v>95</v>
      </c>
      <c r="AD157" s="2">
        <v>1.6473</v>
      </c>
      <c r="AE157" s="2">
        <f t="shared" si="7"/>
        <v>4.9999999999998934</v>
      </c>
      <c r="AG157" s="2">
        <v>95</v>
      </c>
      <c r="AH157" s="2">
        <v>1.6485000000000001</v>
      </c>
      <c r="AI157" s="2">
        <f t="shared" si="8"/>
        <v>5.0000000000001155</v>
      </c>
      <c r="AJ157" s="3"/>
      <c r="AK157" s="2">
        <v>95</v>
      </c>
      <c r="AL157" s="2">
        <v>1.6457999999999999</v>
      </c>
      <c r="AM157" s="2">
        <f t="shared" si="9"/>
        <v>4.8999999999999044</v>
      </c>
      <c r="AO157" s="3"/>
      <c r="AP157" s="3"/>
      <c r="AQ157" s="3"/>
      <c r="AS157" s="3"/>
      <c r="AT157" s="3"/>
      <c r="AU157" s="3"/>
      <c r="AW157" s="3"/>
      <c r="AX157" s="3"/>
      <c r="AY157" s="3"/>
      <c r="BA157" s="3"/>
      <c r="BB157" s="3"/>
      <c r="BC157" s="3"/>
      <c r="BD157" s="3"/>
      <c r="BE157" s="3"/>
    </row>
    <row r="158" spans="1:57" x14ac:dyDescent="0.25">
      <c r="A158" s="3"/>
      <c r="B158" s="3"/>
      <c r="C158" s="3"/>
      <c r="E158" s="3"/>
      <c r="F158" s="3"/>
      <c r="G158" s="3"/>
      <c r="I158" s="3"/>
      <c r="J158" s="3"/>
      <c r="K158" s="3"/>
      <c r="M158" s="3"/>
      <c r="N158" s="3"/>
      <c r="O158" s="3"/>
      <c r="Q158" s="3"/>
      <c r="R158" s="3"/>
      <c r="S158" s="3"/>
      <c r="T158" s="3"/>
      <c r="U158" s="2">
        <v>96</v>
      </c>
      <c r="V158" s="2">
        <v>1.3375999999999999</v>
      </c>
      <c r="W158" s="2">
        <f t="shared" si="5"/>
        <v>5.1999999999998714</v>
      </c>
      <c r="Y158" s="2">
        <v>96</v>
      </c>
      <c r="Z158" s="2">
        <v>1.3423</v>
      </c>
      <c r="AA158" s="2">
        <f t="shared" si="6"/>
        <v>5.0000000000001155</v>
      </c>
      <c r="AC158" s="2">
        <v>96</v>
      </c>
      <c r="AD158" s="2">
        <v>1.6521999999999999</v>
      </c>
      <c r="AE158" s="2">
        <f t="shared" si="7"/>
        <v>4.8999999999999044</v>
      </c>
      <c r="AG158" s="2">
        <v>96</v>
      </c>
      <c r="AH158" s="2">
        <v>1.6536</v>
      </c>
      <c r="AI158" s="2">
        <f t="shared" si="8"/>
        <v>5.0999999999998824</v>
      </c>
      <c r="AJ158" s="3"/>
      <c r="AK158" s="2">
        <v>96</v>
      </c>
      <c r="AL158" s="2">
        <v>1.6508</v>
      </c>
      <c r="AM158" s="2">
        <f t="shared" si="9"/>
        <v>5.0000000000001155</v>
      </c>
      <c r="AO158" s="3"/>
      <c r="AP158" s="3"/>
      <c r="AQ158" s="3"/>
      <c r="AS158" s="3"/>
      <c r="AT158" s="3"/>
      <c r="AU158" s="3"/>
      <c r="AW158" s="3"/>
      <c r="AX158" s="3"/>
      <c r="AY158" s="3"/>
      <c r="BA158" s="3"/>
      <c r="BB158" s="3"/>
      <c r="BC158" s="3"/>
      <c r="BD158" s="3"/>
      <c r="BE158" s="3"/>
    </row>
    <row r="159" spans="1:57" x14ac:dyDescent="0.25">
      <c r="A159" s="3"/>
      <c r="B159" s="3"/>
      <c r="C159" s="3"/>
      <c r="E159" s="3"/>
      <c r="F159" s="3"/>
      <c r="G159" s="3"/>
      <c r="I159" s="3"/>
      <c r="J159" s="3"/>
      <c r="K159" s="3"/>
      <c r="M159" s="3"/>
      <c r="N159" s="3"/>
      <c r="O159" s="3"/>
      <c r="Q159" s="3"/>
      <c r="R159" s="3"/>
      <c r="S159" s="3"/>
      <c r="T159" s="3"/>
      <c r="U159" s="2">
        <v>97</v>
      </c>
      <c r="V159" s="2">
        <v>1.3424</v>
      </c>
      <c r="W159" s="2">
        <f t="shared" si="5"/>
        <v>4.8000000000001375</v>
      </c>
      <c r="Y159" s="2">
        <v>97</v>
      </c>
      <c r="Z159" s="2">
        <v>1.3471</v>
      </c>
      <c r="AA159" s="2">
        <f t="shared" si="6"/>
        <v>4.7999999999999154</v>
      </c>
      <c r="AC159" s="2">
        <v>97</v>
      </c>
      <c r="AD159" s="2">
        <v>1.6573</v>
      </c>
      <c r="AE159" s="2">
        <f t="shared" si="7"/>
        <v>5.1000000000001044</v>
      </c>
      <c r="AG159" s="2">
        <v>97</v>
      </c>
      <c r="AH159" s="2">
        <v>1.6587000000000001</v>
      </c>
      <c r="AI159" s="2">
        <f t="shared" si="8"/>
        <v>5.1000000000001044</v>
      </c>
      <c r="AJ159" s="3"/>
      <c r="AK159" s="2">
        <v>97</v>
      </c>
      <c r="AL159" s="2">
        <v>1.6557999999999999</v>
      </c>
      <c r="AM159" s="2">
        <f t="shared" si="9"/>
        <v>4.9999999999998934</v>
      </c>
      <c r="AO159" s="3"/>
      <c r="AP159" s="3"/>
      <c r="AQ159" s="3"/>
      <c r="AS159" s="3"/>
      <c r="AT159" s="3"/>
      <c r="AU159" s="3"/>
      <c r="AW159" s="3"/>
      <c r="AX159" s="3"/>
      <c r="AY159" s="3"/>
      <c r="BA159" s="3"/>
      <c r="BB159" s="3"/>
      <c r="BC159" s="3"/>
      <c r="BD159" s="3"/>
      <c r="BE159" s="3"/>
    </row>
    <row r="160" spans="1:57" x14ac:dyDescent="0.25">
      <c r="A160" s="3"/>
      <c r="B160" s="3"/>
      <c r="C160" s="3"/>
      <c r="E160" s="3"/>
      <c r="F160" s="3"/>
      <c r="G160" s="3"/>
      <c r="I160" s="3"/>
      <c r="J160" s="3"/>
      <c r="K160" s="3"/>
      <c r="M160" s="3"/>
      <c r="N160" s="3"/>
      <c r="O160" s="3"/>
      <c r="Q160" s="3"/>
      <c r="R160" s="3"/>
      <c r="S160" s="3"/>
      <c r="T160" s="3"/>
      <c r="U160" s="2">
        <v>98</v>
      </c>
      <c r="V160" s="2">
        <v>1.3472999999999999</v>
      </c>
      <c r="W160" s="2">
        <f t="shared" si="5"/>
        <v>4.8999999999999044</v>
      </c>
      <c r="Y160" s="2">
        <v>98</v>
      </c>
      <c r="Z160" s="2">
        <v>1.3521000000000001</v>
      </c>
      <c r="AA160" s="2">
        <f t="shared" si="6"/>
        <v>5.0000000000001155</v>
      </c>
      <c r="AC160" s="2">
        <v>98</v>
      </c>
      <c r="AD160" s="2">
        <v>1.6620999999999999</v>
      </c>
      <c r="AE160" s="2">
        <f t="shared" si="7"/>
        <v>4.7999999999999154</v>
      </c>
      <c r="AG160" s="2">
        <v>98</v>
      </c>
      <c r="AH160" s="2">
        <v>1.6636</v>
      </c>
      <c r="AI160" s="2">
        <f t="shared" si="8"/>
        <v>4.8999999999999044</v>
      </c>
      <c r="AJ160" s="3"/>
      <c r="AK160" s="2">
        <v>98</v>
      </c>
      <c r="AL160" s="2">
        <v>1.6607000000000001</v>
      </c>
      <c r="AM160" s="2">
        <f t="shared" si="9"/>
        <v>4.9000000000001265</v>
      </c>
      <c r="AO160" s="3"/>
      <c r="AP160" s="3"/>
      <c r="AQ160" s="3"/>
      <c r="AS160" s="3"/>
      <c r="AT160" s="3"/>
      <c r="AU160" s="3"/>
      <c r="AW160" s="3"/>
      <c r="AX160" s="3"/>
      <c r="AY160" s="3"/>
      <c r="BA160" s="3"/>
      <c r="BB160" s="3"/>
      <c r="BC160" s="3"/>
      <c r="BD160" s="3"/>
      <c r="BE160" s="3"/>
    </row>
    <row r="161" spans="1:57" x14ac:dyDescent="0.25">
      <c r="A161" s="3"/>
      <c r="B161" s="3"/>
      <c r="C161" s="3"/>
      <c r="E161" s="3"/>
      <c r="F161" s="3"/>
      <c r="G161" s="3"/>
      <c r="I161" s="3"/>
      <c r="J161" s="3"/>
      <c r="K161" s="3"/>
      <c r="M161" s="3"/>
      <c r="N161" s="3"/>
      <c r="O161" s="3"/>
      <c r="Q161" s="3"/>
      <c r="R161" s="3"/>
      <c r="S161" s="3"/>
      <c r="T161" s="3"/>
      <c r="U161" s="2">
        <v>99</v>
      </c>
      <c r="V161" s="2">
        <v>1.3524</v>
      </c>
      <c r="W161" s="2">
        <f t="shared" si="5"/>
        <v>5.1000000000001044</v>
      </c>
      <c r="Y161" s="2">
        <v>99</v>
      </c>
      <c r="Z161" s="2">
        <v>1.3568</v>
      </c>
      <c r="AA161" s="2">
        <f t="shared" si="6"/>
        <v>4.6999999999999265</v>
      </c>
      <c r="AC161" s="2">
        <v>99</v>
      </c>
      <c r="AD161" s="2">
        <v>1.6669</v>
      </c>
      <c r="AE161" s="2">
        <f t="shared" si="7"/>
        <v>4.8000000000001375</v>
      </c>
      <c r="AG161" s="2">
        <v>99</v>
      </c>
      <c r="AH161" s="2">
        <v>1.6687000000000001</v>
      </c>
      <c r="AI161" s="2">
        <f t="shared" si="8"/>
        <v>5.1000000000001044</v>
      </c>
      <c r="AJ161" s="3"/>
      <c r="AK161" s="2">
        <v>99</v>
      </c>
      <c r="AL161" s="2">
        <v>1.6656</v>
      </c>
      <c r="AM161" s="2">
        <f t="shared" si="9"/>
        <v>4.8999999999999044</v>
      </c>
      <c r="AO161" s="3"/>
      <c r="AP161" s="3"/>
      <c r="AQ161" s="3"/>
      <c r="AS161" s="3"/>
      <c r="AT161" s="3"/>
      <c r="AU161" s="3"/>
      <c r="AW161" s="3"/>
      <c r="AX161" s="3"/>
      <c r="AY161" s="3"/>
      <c r="BA161" s="3"/>
      <c r="BB161" s="3"/>
      <c r="BC161" s="3"/>
      <c r="BD161" s="3"/>
      <c r="BE161" s="3"/>
    </row>
    <row r="162" spans="1:57" x14ac:dyDescent="0.25">
      <c r="A162" s="3"/>
      <c r="B162" s="3"/>
      <c r="C162" s="3"/>
      <c r="E162" s="3"/>
      <c r="F162" s="3"/>
      <c r="G162" s="3"/>
      <c r="I162" s="3"/>
      <c r="J162" s="3"/>
      <c r="K162" s="3"/>
      <c r="M162" s="3"/>
      <c r="N162" s="3"/>
      <c r="O162" s="3"/>
      <c r="Q162" s="3"/>
      <c r="R162" s="3"/>
      <c r="S162" s="3"/>
      <c r="T162" s="3"/>
      <c r="U162" s="2" t="s">
        <v>97</v>
      </c>
      <c r="V162" s="2">
        <v>1.3573999999999999</v>
      </c>
      <c r="W162" s="2">
        <f t="shared" si="5"/>
        <v>4.9999999999998934</v>
      </c>
      <c r="Y162" s="2" t="s">
        <v>97</v>
      </c>
      <c r="Z162" s="2">
        <v>1.3619000000000001</v>
      </c>
      <c r="AA162" s="2">
        <f t="shared" si="6"/>
        <v>5.1000000000001044</v>
      </c>
      <c r="AC162" s="2" t="s">
        <v>97</v>
      </c>
      <c r="AD162" s="2">
        <v>1.6718999999999999</v>
      </c>
      <c r="AE162" s="2">
        <f t="shared" si="7"/>
        <v>4.9999999999998934</v>
      </c>
      <c r="AG162" s="2" t="s">
        <v>97</v>
      </c>
      <c r="AH162" s="2">
        <v>1.6737</v>
      </c>
      <c r="AI162" s="2">
        <f t="shared" si="8"/>
        <v>4.9999999999998934</v>
      </c>
      <c r="AJ162" s="3"/>
      <c r="AK162" s="2" t="s">
        <v>97</v>
      </c>
      <c r="AL162" s="2">
        <v>1.6707000000000001</v>
      </c>
      <c r="AM162" s="2">
        <f t="shared" si="9"/>
        <v>5.1000000000001044</v>
      </c>
      <c r="AO162" s="3"/>
      <c r="AP162" s="3"/>
      <c r="AQ162" s="3"/>
      <c r="AS162" s="3"/>
      <c r="AT162" s="3"/>
      <c r="AU162" s="3"/>
      <c r="AW162" s="3"/>
      <c r="AX162" s="3"/>
      <c r="AY162" s="3"/>
      <c r="BA162" s="3"/>
      <c r="BB162" s="3"/>
      <c r="BC162" s="3"/>
      <c r="BD162" s="3"/>
      <c r="BE162" s="3"/>
    </row>
    <row r="163" spans="1:57" x14ac:dyDescent="0.25">
      <c r="A163" s="3"/>
      <c r="B163" s="3"/>
      <c r="C163" s="3"/>
      <c r="E163" s="3"/>
      <c r="F163" s="3"/>
      <c r="G163" s="3"/>
      <c r="I163" s="3"/>
      <c r="J163" s="3"/>
      <c r="K163" s="3"/>
      <c r="M163" s="3"/>
      <c r="N163" s="3"/>
      <c r="O163" s="3"/>
      <c r="Q163" s="3"/>
      <c r="R163" s="3"/>
      <c r="S163" s="3"/>
      <c r="T163" s="3"/>
      <c r="U163" s="2" t="s">
        <v>98</v>
      </c>
      <c r="V163" s="2">
        <v>1.3623000000000001</v>
      </c>
      <c r="W163" s="2">
        <f t="shared" si="5"/>
        <v>4.9000000000001265</v>
      </c>
      <c r="Y163" s="2" t="s">
        <v>98</v>
      </c>
      <c r="Z163" s="2">
        <v>1.3667</v>
      </c>
      <c r="AA163" s="2">
        <f t="shared" si="6"/>
        <v>4.7999999999999154</v>
      </c>
      <c r="AC163" s="2" t="s">
        <v>98</v>
      </c>
      <c r="AD163" s="2">
        <v>1.6769000000000001</v>
      </c>
      <c r="AE163" s="2">
        <f t="shared" si="7"/>
        <v>5.0000000000001155</v>
      </c>
      <c r="AG163" s="2" t="s">
        <v>98</v>
      </c>
      <c r="AH163" s="2">
        <v>1.6788000000000001</v>
      </c>
      <c r="AI163" s="2">
        <f t="shared" si="8"/>
        <v>5.1000000000001044</v>
      </c>
      <c r="AJ163" s="3"/>
      <c r="AK163" s="2" t="s">
        <v>98</v>
      </c>
      <c r="AL163" s="2">
        <v>1.6755</v>
      </c>
      <c r="AM163" s="2">
        <f t="shared" si="9"/>
        <v>4.7999999999999154</v>
      </c>
      <c r="AO163" s="3"/>
      <c r="AP163" s="3"/>
      <c r="AQ163" s="3"/>
      <c r="AS163" s="3"/>
      <c r="AT163" s="3"/>
      <c r="AU163" s="3"/>
      <c r="AW163" s="3"/>
      <c r="AX163" s="3"/>
      <c r="AY163" s="3"/>
      <c r="BA163" s="3"/>
      <c r="BB163" s="3"/>
      <c r="BC163" s="3"/>
      <c r="BD163" s="3"/>
      <c r="BE163" s="3"/>
    </row>
    <row r="164" spans="1:57" x14ac:dyDescent="0.25">
      <c r="A164" s="3"/>
      <c r="B164" s="3"/>
      <c r="C164" s="3"/>
      <c r="E164" s="3"/>
      <c r="F164" s="3"/>
      <c r="G164" s="3"/>
      <c r="I164" s="3"/>
      <c r="J164" s="3"/>
      <c r="K164" s="3"/>
      <c r="M164" s="3"/>
      <c r="N164" s="3"/>
      <c r="O164" s="3"/>
      <c r="Q164" s="3"/>
      <c r="R164" s="3"/>
      <c r="S164" s="3"/>
      <c r="T164" s="3"/>
      <c r="U164" s="2" t="s">
        <v>99</v>
      </c>
      <c r="V164" s="2">
        <v>1.3669</v>
      </c>
      <c r="W164" s="2">
        <f t="shared" si="5"/>
        <v>4.5999999999999375</v>
      </c>
      <c r="Y164" s="2" t="s">
        <v>99</v>
      </c>
      <c r="Z164" s="2">
        <v>1.3714</v>
      </c>
      <c r="AA164" s="2">
        <f t="shared" si="6"/>
        <v>4.6999999999999265</v>
      </c>
      <c r="AC164" s="2" t="s">
        <v>99</v>
      </c>
      <c r="AD164" s="2">
        <v>1.6822999999999999</v>
      </c>
      <c r="AE164" s="2">
        <f t="shared" si="7"/>
        <v>5.3999999999998494</v>
      </c>
      <c r="AG164" s="2" t="s">
        <v>99</v>
      </c>
      <c r="AH164" s="2">
        <v>1.6840999999999999</v>
      </c>
      <c r="AI164" s="2">
        <f t="shared" si="8"/>
        <v>5.2999999999998604</v>
      </c>
      <c r="AJ164" s="3"/>
      <c r="AK164" s="2" t="s">
        <v>99</v>
      </c>
      <c r="AL164" s="2">
        <v>1.6806000000000001</v>
      </c>
      <c r="AM164" s="2">
        <f t="shared" si="9"/>
        <v>5.1000000000001044</v>
      </c>
      <c r="AO164" s="3"/>
      <c r="AP164" s="3"/>
      <c r="AQ164" s="3"/>
      <c r="AS164" s="3"/>
      <c r="AT164" s="3"/>
      <c r="AU164" s="3"/>
      <c r="AW164" s="3"/>
      <c r="AX164" s="3"/>
      <c r="AY164" s="3"/>
      <c r="BA164" s="3"/>
      <c r="BB164" s="3"/>
      <c r="BC164" s="3"/>
      <c r="BD164" s="3"/>
      <c r="BE164" s="3"/>
    </row>
    <row r="165" spans="1:57" x14ac:dyDescent="0.25">
      <c r="A165" s="3"/>
      <c r="B165" s="3"/>
      <c r="C165" s="3"/>
      <c r="E165" s="3"/>
      <c r="F165" s="3"/>
      <c r="G165" s="3"/>
      <c r="I165" s="3"/>
      <c r="J165" s="3"/>
      <c r="K165" s="3"/>
      <c r="M165" s="3"/>
      <c r="N165" s="3"/>
      <c r="O165" s="3"/>
      <c r="Q165" s="3"/>
      <c r="R165" s="3"/>
      <c r="S165" s="3"/>
      <c r="T165" s="3"/>
      <c r="U165" s="2" t="s">
        <v>100</v>
      </c>
      <c r="V165" s="2">
        <v>1.3717999999999999</v>
      </c>
      <c r="W165" s="2">
        <f t="shared" si="5"/>
        <v>4.8999999999999044</v>
      </c>
      <c r="Y165" s="2" t="s">
        <v>100</v>
      </c>
      <c r="Z165" s="2">
        <v>1.3763000000000001</v>
      </c>
      <c r="AA165" s="2">
        <f t="shared" si="6"/>
        <v>4.9000000000001265</v>
      </c>
      <c r="AC165" s="2" t="s">
        <v>100</v>
      </c>
      <c r="AD165" s="2">
        <v>1.6872</v>
      </c>
      <c r="AE165" s="2">
        <f t="shared" si="7"/>
        <v>4.9000000000001265</v>
      </c>
      <c r="AG165" s="2" t="s">
        <v>100</v>
      </c>
      <c r="AH165" s="2">
        <v>1.6892</v>
      </c>
      <c r="AI165" s="2">
        <f t="shared" si="8"/>
        <v>5.1000000000001044</v>
      </c>
      <c r="AJ165" s="3"/>
      <c r="AK165" s="2" t="s">
        <v>100</v>
      </c>
      <c r="AL165" s="2">
        <v>1.6856</v>
      </c>
      <c r="AM165" s="2">
        <f t="shared" si="9"/>
        <v>4.9999999999998934</v>
      </c>
      <c r="AO165" s="3"/>
      <c r="AP165" s="3"/>
      <c r="AQ165" s="3"/>
      <c r="AS165" s="3"/>
      <c r="AT165" s="3"/>
      <c r="AU165" s="3"/>
      <c r="AW165" s="3"/>
      <c r="AX165" s="3"/>
      <c r="AY165" s="3"/>
      <c r="BA165" s="3"/>
      <c r="BB165" s="3"/>
      <c r="BC165" s="3"/>
      <c r="BD165" s="3"/>
      <c r="BE165" s="3"/>
    </row>
    <row r="166" spans="1:57" x14ac:dyDescent="0.25">
      <c r="A166" s="3"/>
      <c r="B166" s="3"/>
      <c r="C166" s="3"/>
      <c r="E166" s="3"/>
      <c r="F166" s="3"/>
      <c r="G166" s="3"/>
      <c r="I166" s="3"/>
      <c r="J166" s="3"/>
      <c r="K166" s="3"/>
      <c r="M166" s="3"/>
      <c r="N166" s="3"/>
      <c r="O166" s="3"/>
      <c r="Q166" s="3"/>
      <c r="R166" s="3"/>
      <c r="S166" s="3"/>
      <c r="T166" s="3"/>
      <c r="U166" s="2" t="s">
        <v>101</v>
      </c>
      <c r="V166" s="2">
        <v>1.3771</v>
      </c>
      <c r="W166" s="2">
        <f t="shared" si="5"/>
        <v>5.3000000000000824</v>
      </c>
      <c r="Y166" s="2" t="s">
        <v>101</v>
      </c>
      <c r="Z166" s="2">
        <v>1.3814</v>
      </c>
      <c r="AA166" s="2">
        <f t="shared" si="6"/>
        <v>5.0999999999998824</v>
      </c>
      <c r="AC166" s="2" t="s">
        <v>101</v>
      </c>
      <c r="AD166" s="2">
        <v>1.6921999999999999</v>
      </c>
      <c r="AE166" s="2">
        <f t="shared" si="7"/>
        <v>4.9999999999998934</v>
      </c>
      <c r="AG166" s="2" t="s">
        <v>101</v>
      </c>
      <c r="AH166" s="2">
        <v>1.6941999999999999</v>
      </c>
      <c r="AI166" s="2">
        <f t="shared" si="8"/>
        <v>4.9999999999998934</v>
      </c>
      <c r="AJ166" s="3"/>
      <c r="AK166" s="2" t="s">
        <v>101</v>
      </c>
      <c r="AL166" s="2">
        <v>1.6904999999999999</v>
      </c>
      <c r="AM166" s="2">
        <f t="shared" si="9"/>
        <v>4.8999999999999044</v>
      </c>
      <c r="AO166" s="3"/>
      <c r="AP166" s="3"/>
      <c r="AQ166" s="3"/>
      <c r="AS166" s="3"/>
      <c r="AT166" s="3"/>
      <c r="AU166" s="3"/>
      <c r="AW166" s="3"/>
      <c r="AX166" s="3"/>
      <c r="AY166" s="3"/>
      <c r="BA166" s="3"/>
      <c r="BB166" s="3"/>
      <c r="BC166" s="3"/>
      <c r="BD166" s="3"/>
      <c r="BE166" s="3"/>
    </row>
    <row r="167" spans="1:57" x14ac:dyDescent="0.25">
      <c r="A167" s="3"/>
      <c r="B167" s="3"/>
      <c r="C167" s="3"/>
      <c r="E167" s="3"/>
      <c r="F167" s="3"/>
      <c r="G167" s="3"/>
      <c r="I167" s="3"/>
      <c r="J167" s="3"/>
      <c r="K167" s="3"/>
      <c r="M167" s="3"/>
      <c r="N167" s="3"/>
      <c r="O167" s="3"/>
      <c r="Q167" s="3"/>
      <c r="R167" s="3"/>
      <c r="S167" s="3"/>
      <c r="T167" s="3"/>
      <c r="U167" s="2" t="s">
        <v>102</v>
      </c>
      <c r="V167" s="2">
        <v>1.3816999999999999</v>
      </c>
      <c r="W167" s="2">
        <f t="shared" si="5"/>
        <v>4.5999999999999375</v>
      </c>
      <c r="Y167" s="2" t="s">
        <v>102</v>
      </c>
      <c r="Z167" s="2">
        <v>1.3862000000000001</v>
      </c>
      <c r="AA167" s="2">
        <f t="shared" si="6"/>
        <v>4.8000000000001375</v>
      </c>
      <c r="AC167" s="2" t="s">
        <v>102</v>
      </c>
      <c r="AD167" s="2">
        <v>1.6971000000000001</v>
      </c>
      <c r="AE167" s="2">
        <f t="shared" si="7"/>
        <v>4.9000000000001265</v>
      </c>
      <c r="AG167" s="2" t="s">
        <v>102</v>
      </c>
      <c r="AH167" s="2">
        <v>1.6993</v>
      </c>
      <c r="AI167" s="2">
        <f t="shared" si="8"/>
        <v>5.1000000000001044</v>
      </c>
      <c r="AJ167" s="3"/>
      <c r="AK167" s="2" t="s">
        <v>102</v>
      </c>
      <c r="AL167" s="2">
        <v>1.6954</v>
      </c>
      <c r="AM167" s="2">
        <f t="shared" si="9"/>
        <v>4.9000000000001265</v>
      </c>
      <c r="AO167" s="3"/>
      <c r="AP167" s="3"/>
      <c r="AQ167" s="3"/>
      <c r="AS167" s="3"/>
      <c r="AT167" s="3"/>
      <c r="AU167" s="3"/>
      <c r="AW167" s="3"/>
      <c r="AX167" s="3"/>
      <c r="AY167" s="3"/>
      <c r="BA167" s="3"/>
      <c r="BB167" s="3"/>
      <c r="BC167" s="3"/>
      <c r="BD167" s="3"/>
      <c r="BE167" s="3"/>
    </row>
    <row r="168" spans="1:57" x14ac:dyDescent="0.25">
      <c r="A168" s="3"/>
      <c r="B168" s="3"/>
      <c r="C168" s="3"/>
      <c r="E168" s="3"/>
      <c r="F168" s="3"/>
      <c r="G168" s="3"/>
      <c r="I168" s="3"/>
      <c r="J168" s="3"/>
      <c r="K168" s="3"/>
      <c r="M168" s="3"/>
      <c r="N168" s="3"/>
      <c r="O168" s="3"/>
      <c r="Q168" s="3"/>
      <c r="R168" s="3"/>
      <c r="S168" s="3"/>
      <c r="T168" s="3"/>
      <c r="U168" s="2" t="s">
        <v>103</v>
      </c>
      <c r="V168" s="2">
        <v>1.3864000000000001</v>
      </c>
      <c r="W168" s="2">
        <f t="shared" si="5"/>
        <v>4.7000000000001485</v>
      </c>
      <c r="Y168" s="2" t="s">
        <v>103</v>
      </c>
      <c r="Z168" s="2">
        <v>1.3923000000000001</v>
      </c>
      <c r="AA168" s="2">
        <f t="shared" si="6"/>
        <v>6.0999999999999943</v>
      </c>
      <c r="AC168" s="2" t="s">
        <v>103</v>
      </c>
      <c r="AD168" s="2">
        <v>1.7009000000000001</v>
      </c>
      <c r="AE168" s="2">
        <f t="shared" si="7"/>
        <v>3.8000000000000256</v>
      </c>
      <c r="AG168" s="2" t="s">
        <v>103</v>
      </c>
      <c r="AH168" s="2">
        <v>1.7027000000000001</v>
      </c>
      <c r="AI168" s="2">
        <f t="shared" si="8"/>
        <v>3.4000000000000696</v>
      </c>
      <c r="AJ168" s="3"/>
      <c r="AK168" s="2" t="s">
        <v>103</v>
      </c>
      <c r="AL168" s="2">
        <v>1.7013</v>
      </c>
      <c r="AM168" s="2">
        <f t="shared" si="9"/>
        <v>5.9000000000000163</v>
      </c>
      <c r="AO168" s="3"/>
      <c r="AP168" s="3"/>
      <c r="AQ168" s="3"/>
      <c r="AS168" s="3"/>
      <c r="AT168" s="3"/>
      <c r="AU168" s="3"/>
      <c r="AW168" s="3"/>
      <c r="AX168" s="3"/>
      <c r="AY168" s="3"/>
      <c r="BA168" s="3"/>
      <c r="BB168" s="3"/>
      <c r="BC168" s="3"/>
      <c r="BD168" s="3"/>
      <c r="BE168" s="3"/>
    </row>
    <row r="169" spans="1:57" x14ac:dyDescent="0.25">
      <c r="A169" s="3"/>
      <c r="B169" s="3"/>
      <c r="C169" s="3"/>
      <c r="E169" s="3"/>
      <c r="F169" s="3"/>
      <c r="G169" s="3"/>
      <c r="I169" s="3"/>
      <c r="J169" s="3"/>
      <c r="K169" s="3"/>
      <c r="M169" s="3"/>
      <c r="N169" s="3"/>
      <c r="O169" s="3"/>
      <c r="Q169" s="3"/>
      <c r="R169" s="3"/>
      <c r="S169" s="3"/>
      <c r="T169" s="3"/>
      <c r="U169" s="2" t="s">
        <v>104</v>
      </c>
      <c r="V169" s="2">
        <v>1.3912</v>
      </c>
      <c r="W169" s="2">
        <f t="shared" si="5"/>
        <v>4.7999999999999154</v>
      </c>
      <c r="Y169" s="2" t="s">
        <v>104</v>
      </c>
      <c r="Z169" s="2">
        <v>1.3971</v>
      </c>
      <c r="AA169" s="2">
        <f t="shared" si="6"/>
        <v>4.7999999999999154</v>
      </c>
      <c r="AC169" s="2" t="s">
        <v>104</v>
      </c>
      <c r="AD169" s="2">
        <v>1.7055</v>
      </c>
      <c r="AE169" s="2">
        <f t="shared" si="7"/>
        <v>4.5999999999999375</v>
      </c>
      <c r="AG169" s="2" t="s">
        <v>104</v>
      </c>
      <c r="AH169" s="2">
        <v>1.7069000000000001</v>
      </c>
      <c r="AI169" s="2">
        <f t="shared" si="8"/>
        <v>4.1999999999999815</v>
      </c>
      <c r="AJ169" s="3"/>
      <c r="AK169" s="2" t="s">
        <v>104</v>
      </c>
      <c r="AL169" s="2">
        <v>1.7061999999999999</v>
      </c>
      <c r="AM169" s="2">
        <f t="shared" si="9"/>
        <v>4.8999999999999044</v>
      </c>
      <c r="AO169" s="3"/>
      <c r="AP169" s="3"/>
      <c r="AQ169" s="3"/>
      <c r="AS169" s="3"/>
      <c r="AT169" s="3"/>
      <c r="AU169" s="3"/>
      <c r="AW169" s="3"/>
      <c r="AX169" s="3"/>
      <c r="AY169" s="3"/>
      <c r="BA169" s="3"/>
      <c r="BB169" s="3"/>
      <c r="BC169" s="3"/>
      <c r="BD169" s="3"/>
      <c r="BE169" s="3"/>
    </row>
    <row r="170" spans="1:57" x14ac:dyDescent="0.25">
      <c r="A170" s="3"/>
      <c r="B170" s="3"/>
      <c r="C170" s="3"/>
      <c r="E170" s="3"/>
      <c r="F170" s="3"/>
      <c r="G170" s="3"/>
      <c r="I170" s="3"/>
      <c r="J170" s="3"/>
      <c r="K170" s="3"/>
      <c r="M170" s="3"/>
      <c r="N170" s="3"/>
      <c r="O170" s="3"/>
      <c r="Q170" s="3"/>
      <c r="R170" s="3"/>
      <c r="S170" s="3"/>
      <c r="T170" s="3"/>
      <c r="U170" s="2" t="s">
        <v>105</v>
      </c>
      <c r="V170" s="2">
        <v>1.3964000000000001</v>
      </c>
      <c r="W170" s="2">
        <f t="shared" si="5"/>
        <v>5.2000000000000934</v>
      </c>
      <c r="Y170" s="2" t="s">
        <v>105</v>
      </c>
      <c r="Z170" s="2">
        <v>1.4021999999999999</v>
      </c>
      <c r="AA170" s="2">
        <f t="shared" si="6"/>
        <v>5.0999999999998824</v>
      </c>
      <c r="AC170" s="2" t="s">
        <v>105</v>
      </c>
      <c r="AD170" s="2">
        <v>1.7103999999999999</v>
      </c>
      <c r="AE170" s="2">
        <f t="shared" si="7"/>
        <v>4.8999999999999044</v>
      </c>
      <c r="AG170" s="2" t="s">
        <v>105</v>
      </c>
      <c r="AH170" s="2">
        <v>1.7119</v>
      </c>
      <c r="AI170" s="2">
        <f t="shared" si="8"/>
        <v>4.9999999999998934</v>
      </c>
      <c r="AJ170" s="3"/>
      <c r="AK170" s="2" t="s">
        <v>105</v>
      </c>
      <c r="AL170" s="2">
        <v>1.7112000000000001</v>
      </c>
      <c r="AM170" s="2">
        <f t="shared" si="9"/>
        <v>5.0000000000001155</v>
      </c>
      <c r="AO170" s="3"/>
      <c r="AP170" s="3"/>
      <c r="AQ170" s="3"/>
      <c r="AS170" s="3"/>
      <c r="AT170" s="3"/>
      <c r="AU170" s="3"/>
      <c r="AW170" s="3"/>
      <c r="AX170" s="3"/>
      <c r="AY170" s="3"/>
      <c r="BA170" s="3"/>
      <c r="BB170" s="3"/>
      <c r="BC170" s="3"/>
      <c r="BD170" s="3"/>
      <c r="BE170" s="3"/>
    </row>
    <row r="171" spans="1:57" x14ac:dyDescent="0.25">
      <c r="A171" s="3"/>
      <c r="B171" s="3"/>
      <c r="C171" s="3"/>
      <c r="E171" s="3"/>
      <c r="F171" s="3"/>
      <c r="G171" s="3"/>
      <c r="I171" s="3"/>
      <c r="J171" s="3"/>
      <c r="K171" s="3"/>
      <c r="M171" s="3"/>
      <c r="N171" s="3"/>
      <c r="O171" s="3"/>
      <c r="Q171" s="3"/>
      <c r="R171" s="3"/>
      <c r="S171" s="3"/>
      <c r="T171" s="3"/>
      <c r="U171" s="2" t="s">
        <v>106</v>
      </c>
      <c r="V171" s="2">
        <v>1.4011</v>
      </c>
      <c r="W171" s="2">
        <f t="shared" si="5"/>
        <v>4.6999999999999265</v>
      </c>
      <c r="Y171" s="2" t="s">
        <v>106</v>
      </c>
      <c r="Z171" s="2">
        <v>1.407</v>
      </c>
      <c r="AA171" s="2">
        <f t="shared" si="6"/>
        <v>4.8000000000001375</v>
      </c>
      <c r="AC171" s="2" t="s">
        <v>106</v>
      </c>
      <c r="AD171" s="2">
        <v>1.7155</v>
      </c>
      <c r="AE171" s="2">
        <f t="shared" si="7"/>
        <v>5.1000000000001044</v>
      </c>
      <c r="AG171" s="2" t="s">
        <v>106</v>
      </c>
      <c r="AH171" s="2">
        <v>1.7171000000000001</v>
      </c>
      <c r="AI171" s="2">
        <f t="shared" si="8"/>
        <v>5.2000000000000934</v>
      </c>
      <c r="AJ171" s="3"/>
      <c r="AK171" s="2" t="s">
        <v>106</v>
      </c>
      <c r="AL171" s="2">
        <v>1.7161999999999999</v>
      </c>
      <c r="AM171" s="2">
        <f t="shared" si="9"/>
        <v>4.9999999999998934</v>
      </c>
      <c r="AO171" s="3"/>
      <c r="AP171" s="3"/>
      <c r="AQ171" s="3"/>
      <c r="AS171" s="3"/>
      <c r="AT171" s="3"/>
      <c r="AU171" s="3"/>
      <c r="AW171" s="3"/>
      <c r="AX171" s="3"/>
      <c r="AY171" s="3"/>
      <c r="BA171" s="3"/>
      <c r="BB171" s="3"/>
      <c r="BC171" s="3"/>
      <c r="BD171" s="3"/>
      <c r="BE171" s="3"/>
    </row>
    <row r="172" spans="1:57" x14ac:dyDescent="0.25">
      <c r="A172" s="3"/>
      <c r="B172" s="3"/>
      <c r="C172" s="3"/>
      <c r="E172" s="3"/>
      <c r="F172" s="3"/>
      <c r="G172" s="3"/>
      <c r="I172" s="3"/>
      <c r="J172" s="3"/>
      <c r="K172" s="3"/>
      <c r="M172" s="3"/>
      <c r="N172" s="3"/>
      <c r="O172" s="3"/>
      <c r="Q172" s="3"/>
      <c r="R172" s="3"/>
      <c r="S172" s="3"/>
      <c r="T172" s="3"/>
      <c r="U172" s="2" t="s">
        <v>107</v>
      </c>
      <c r="V172" s="2">
        <v>1.4059999999999999</v>
      </c>
      <c r="W172" s="2">
        <f t="shared" si="5"/>
        <v>4.8999999999999044</v>
      </c>
      <c r="Y172" s="2" t="s">
        <v>107</v>
      </c>
      <c r="Z172" s="2">
        <v>1.4117</v>
      </c>
      <c r="AA172" s="2">
        <f t="shared" si="6"/>
        <v>4.6999999999999265</v>
      </c>
      <c r="AC172" s="2" t="s">
        <v>107</v>
      </c>
      <c r="AD172" s="2">
        <v>1.7209000000000001</v>
      </c>
      <c r="AE172" s="2">
        <f t="shared" si="7"/>
        <v>5.4000000000000714</v>
      </c>
      <c r="AG172" s="2" t="s">
        <v>107</v>
      </c>
      <c r="AH172" s="2">
        <v>1.7222999999999999</v>
      </c>
      <c r="AI172" s="2">
        <f t="shared" si="8"/>
        <v>5.1999999999998714</v>
      </c>
      <c r="AJ172" s="3"/>
      <c r="AK172" s="2" t="s">
        <v>107</v>
      </c>
      <c r="AL172" s="2">
        <v>1.7213000000000001</v>
      </c>
      <c r="AM172" s="2">
        <f t="shared" si="9"/>
        <v>5.1000000000001044</v>
      </c>
      <c r="AO172" s="3"/>
      <c r="AP172" s="3"/>
      <c r="AQ172" s="3"/>
      <c r="AS172" s="3"/>
      <c r="AT172" s="3"/>
      <c r="AU172" s="3"/>
      <c r="AW172" s="3"/>
      <c r="AX172" s="3"/>
      <c r="AY172" s="3"/>
      <c r="BA172" s="3"/>
      <c r="BB172" s="3"/>
      <c r="BC172" s="3"/>
      <c r="BD172" s="3"/>
      <c r="BE172" s="3"/>
    </row>
    <row r="173" spans="1:57" x14ac:dyDescent="0.25">
      <c r="A173" s="3"/>
      <c r="B173" s="3"/>
      <c r="C173" s="3"/>
      <c r="E173" s="3"/>
      <c r="F173" s="3"/>
      <c r="G173" s="3"/>
      <c r="I173" s="3"/>
      <c r="J173" s="3"/>
      <c r="K173" s="3"/>
      <c r="M173" s="3"/>
      <c r="N173" s="3"/>
      <c r="O173" s="3"/>
      <c r="Q173" s="3"/>
      <c r="R173" s="3"/>
      <c r="S173" s="3"/>
      <c r="T173" s="3"/>
      <c r="U173" s="2" t="s">
        <v>108</v>
      </c>
      <c r="V173" s="2">
        <v>1.4108000000000001</v>
      </c>
      <c r="W173" s="2">
        <f t="shared" si="5"/>
        <v>4.8000000000001375</v>
      </c>
      <c r="Y173" s="2" t="s">
        <v>108</v>
      </c>
      <c r="Z173" s="2">
        <v>1.4165000000000001</v>
      </c>
      <c r="AA173" s="2">
        <f t="shared" si="6"/>
        <v>4.8000000000001375</v>
      </c>
      <c r="AC173" s="2" t="s">
        <v>108</v>
      </c>
      <c r="AD173" s="2">
        <v>1.7259</v>
      </c>
      <c r="AE173" s="2">
        <f t="shared" si="7"/>
        <v>4.9999999999998934</v>
      </c>
      <c r="AG173" s="2" t="s">
        <v>108</v>
      </c>
      <c r="AH173" s="2">
        <v>1.7274</v>
      </c>
      <c r="AI173" s="2">
        <f t="shared" si="8"/>
        <v>5.1000000000001044</v>
      </c>
      <c r="AJ173" s="3"/>
      <c r="AK173" s="2" t="s">
        <v>108</v>
      </c>
      <c r="AL173" s="2">
        <v>1.7262</v>
      </c>
      <c r="AM173" s="2">
        <f t="shared" si="9"/>
        <v>4.8999999999999044</v>
      </c>
      <c r="AO173" s="3"/>
      <c r="AP173" s="3"/>
      <c r="AQ173" s="3"/>
      <c r="AS173" s="3"/>
      <c r="AT173" s="3"/>
      <c r="AU173" s="3"/>
      <c r="AW173" s="3"/>
      <c r="AX173" s="3"/>
      <c r="AY173" s="3"/>
      <c r="BA173" s="3"/>
      <c r="BB173" s="3"/>
      <c r="BC173" s="3"/>
      <c r="BD173" s="3"/>
      <c r="BE173" s="3"/>
    </row>
    <row r="174" spans="1:57" x14ac:dyDescent="0.25">
      <c r="A174" s="3"/>
      <c r="B174" s="3"/>
      <c r="C174" s="3"/>
      <c r="E174" s="3"/>
      <c r="F174" s="3"/>
      <c r="G174" s="3"/>
      <c r="I174" s="3"/>
      <c r="J174" s="3"/>
      <c r="K174" s="3"/>
      <c r="M174" s="3"/>
      <c r="N174" s="3"/>
      <c r="O174" s="3"/>
      <c r="Q174" s="3"/>
      <c r="R174" s="3"/>
      <c r="S174" s="3"/>
      <c r="T174" s="3"/>
      <c r="U174" s="2" t="s">
        <v>109</v>
      </c>
      <c r="V174" s="2">
        <v>1.4158999999999999</v>
      </c>
      <c r="W174" s="2">
        <f t="shared" si="5"/>
        <v>5.0999999999998824</v>
      </c>
      <c r="Y174" s="2" t="s">
        <v>109</v>
      </c>
      <c r="Z174" s="2">
        <v>1.4214</v>
      </c>
      <c r="AA174" s="2">
        <f t="shared" si="6"/>
        <v>4.8999999999999044</v>
      </c>
      <c r="AC174" s="2" t="s">
        <v>109</v>
      </c>
      <c r="AD174" s="2">
        <v>1.7307999999999999</v>
      </c>
      <c r="AE174" s="2">
        <f t="shared" si="7"/>
        <v>4.8999999999999044</v>
      </c>
      <c r="AG174" s="2" t="s">
        <v>109</v>
      </c>
      <c r="AH174" s="2">
        <v>1.7323</v>
      </c>
      <c r="AI174" s="2">
        <f t="shared" si="8"/>
        <v>4.8999999999999044</v>
      </c>
      <c r="AJ174" s="3"/>
      <c r="AK174" s="2" t="s">
        <v>109</v>
      </c>
      <c r="AL174" s="2">
        <v>1.7311000000000001</v>
      </c>
      <c r="AM174" s="2">
        <f t="shared" si="9"/>
        <v>4.9000000000001265</v>
      </c>
      <c r="AO174" s="3"/>
      <c r="AP174" s="3"/>
      <c r="AQ174" s="3"/>
      <c r="AS174" s="3"/>
      <c r="AT174" s="3"/>
      <c r="AU174" s="3"/>
      <c r="AW174" s="3"/>
      <c r="AX174" s="3"/>
      <c r="AY174" s="3"/>
      <c r="BA174" s="3"/>
      <c r="BB174" s="3"/>
      <c r="BC174" s="3"/>
      <c r="BD174" s="3"/>
      <c r="BE174" s="3"/>
    </row>
    <row r="175" spans="1:57" x14ac:dyDescent="0.25">
      <c r="A175" s="3"/>
      <c r="B175" s="3"/>
      <c r="C175" s="3"/>
      <c r="E175" s="3"/>
      <c r="F175" s="3"/>
      <c r="G175" s="3"/>
      <c r="I175" s="3"/>
      <c r="J175" s="3"/>
      <c r="K175" s="3"/>
      <c r="M175" s="3"/>
      <c r="N175" s="3"/>
      <c r="O175" s="3"/>
      <c r="Q175" s="3"/>
      <c r="R175" s="3"/>
      <c r="S175" s="3"/>
      <c r="T175" s="3"/>
      <c r="U175" s="2" t="s">
        <v>110</v>
      </c>
      <c r="V175" s="2">
        <v>1.421</v>
      </c>
      <c r="W175" s="2">
        <f t="shared" si="5"/>
        <v>5.1000000000001044</v>
      </c>
      <c r="Y175" s="2" t="s">
        <v>110</v>
      </c>
      <c r="Z175" s="2">
        <v>1.4262999999999999</v>
      </c>
      <c r="AA175" s="2">
        <f t="shared" si="6"/>
        <v>4.8999999999999044</v>
      </c>
      <c r="AC175" s="2" t="s">
        <v>110</v>
      </c>
      <c r="AD175" s="2">
        <v>1.7357</v>
      </c>
      <c r="AE175" s="2">
        <f t="shared" si="7"/>
        <v>4.9000000000001265</v>
      </c>
      <c r="AG175" s="2" t="s">
        <v>110</v>
      </c>
      <c r="AH175" s="2">
        <v>1.7374000000000001</v>
      </c>
      <c r="AI175" s="2">
        <f t="shared" si="8"/>
        <v>5.1000000000001044</v>
      </c>
      <c r="AJ175" s="3"/>
      <c r="AK175" s="2" t="s">
        <v>110</v>
      </c>
      <c r="AL175" s="2">
        <v>1.736</v>
      </c>
      <c r="AM175" s="2">
        <f t="shared" si="9"/>
        <v>4.8999999999999044</v>
      </c>
      <c r="AO175" s="3"/>
      <c r="AP175" s="3"/>
      <c r="AQ175" s="3"/>
      <c r="AS175" s="3"/>
      <c r="AT175" s="3"/>
      <c r="AU175" s="3"/>
      <c r="AW175" s="3"/>
      <c r="AX175" s="3"/>
      <c r="AY175" s="3"/>
      <c r="BA175" s="3"/>
      <c r="BB175" s="3"/>
      <c r="BC175" s="3"/>
      <c r="BD175" s="3"/>
      <c r="BE175" s="3"/>
    </row>
    <row r="176" spans="1:57" x14ac:dyDescent="0.25">
      <c r="A176" s="3"/>
      <c r="B176" s="3"/>
      <c r="C176" s="3"/>
      <c r="E176" s="3"/>
      <c r="F176" s="3"/>
      <c r="G176" s="3"/>
      <c r="I176" s="3"/>
      <c r="J176" s="3"/>
      <c r="K176" s="3"/>
      <c r="M176" s="3"/>
      <c r="N176" s="3"/>
      <c r="O176" s="3"/>
      <c r="Q176" s="3"/>
      <c r="R176" s="3"/>
      <c r="S176" s="3"/>
      <c r="T176" s="3"/>
      <c r="U176" s="2" t="s">
        <v>111</v>
      </c>
      <c r="V176" s="2">
        <v>1.4257</v>
      </c>
      <c r="W176" s="2">
        <f t="shared" si="5"/>
        <v>4.6999999999999265</v>
      </c>
      <c r="Y176" s="2" t="s">
        <v>111</v>
      </c>
      <c r="Z176" s="2">
        <v>1.4312</v>
      </c>
      <c r="AA176" s="2">
        <f t="shared" si="6"/>
        <v>4.9000000000001265</v>
      </c>
      <c r="AC176" s="2" t="s">
        <v>111</v>
      </c>
      <c r="AD176" s="2">
        <v>1.7405999999999999</v>
      </c>
      <c r="AE176" s="2">
        <f t="shared" si="7"/>
        <v>4.8999999999999044</v>
      </c>
      <c r="AG176" s="2" t="s">
        <v>111</v>
      </c>
      <c r="AH176" s="2">
        <v>1.7423999999999999</v>
      </c>
      <c r="AI176" s="2">
        <f t="shared" si="8"/>
        <v>4.9999999999998934</v>
      </c>
      <c r="AJ176" s="3"/>
      <c r="AK176" s="2" t="s">
        <v>111</v>
      </c>
      <c r="AL176" s="2">
        <v>1.7410000000000001</v>
      </c>
      <c r="AM176" s="2">
        <f t="shared" si="9"/>
        <v>5.0000000000001155</v>
      </c>
      <c r="AO176" s="3"/>
      <c r="AP176" s="3"/>
      <c r="AQ176" s="3"/>
      <c r="AS176" s="3"/>
      <c r="AT176" s="3"/>
      <c r="AU176" s="3"/>
      <c r="AW176" s="3"/>
      <c r="AX176" s="3"/>
      <c r="AY176" s="3"/>
      <c r="BA176" s="3"/>
      <c r="BB176" s="3"/>
      <c r="BC176" s="3"/>
      <c r="BD176" s="3"/>
      <c r="BE176" s="3"/>
    </row>
    <row r="177" spans="1:57" x14ac:dyDescent="0.25">
      <c r="A177" s="3"/>
      <c r="B177" s="3"/>
      <c r="C177" s="3"/>
      <c r="E177" s="3"/>
      <c r="F177" s="3"/>
      <c r="G177" s="3"/>
      <c r="I177" s="3"/>
      <c r="J177" s="3"/>
      <c r="K177" s="3"/>
      <c r="M177" s="3"/>
      <c r="N177" s="3"/>
      <c r="O177" s="3"/>
      <c r="Q177" s="3"/>
      <c r="R177" s="3"/>
      <c r="S177" s="3"/>
      <c r="T177" s="3"/>
      <c r="U177" s="2" t="s">
        <v>112</v>
      </c>
      <c r="V177" s="2">
        <v>1.4302999999999999</v>
      </c>
      <c r="W177" s="2">
        <f t="shared" si="5"/>
        <v>4.5999999999999375</v>
      </c>
      <c r="Y177" s="2" t="s">
        <v>112</v>
      </c>
      <c r="Z177" s="2">
        <v>1.4360999999999999</v>
      </c>
      <c r="AA177" s="2">
        <f t="shared" si="6"/>
        <v>4.8999999999999044</v>
      </c>
      <c r="AC177" s="2" t="s">
        <v>112</v>
      </c>
      <c r="AD177" s="2">
        <v>1.7455000000000001</v>
      </c>
      <c r="AE177" s="2">
        <f t="shared" si="7"/>
        <v>4.9000000000001265</v>
      </c>
      <c r="AG177" s="2" t="s">
        <v>112</v>
      </c>
      <c r="AH177" s="2">
        <v>1.7475000000000001</v>
      </c>
      <c r="AI177" s="2">
        <f t="shared" si="8"/>
        <v>5.1000000000001044</v>
      </c>
      <c r="AJ177" s="3"/>
      <c r="AK177" s="2" t="s">
        <v>112</v>
      </c>
      <c r="AL177" s="2">
        <v>1.746</v>
      </c>
      <c r="AM177" s="2">
        <f t="shared" si="9"/>
        <v>4.9999999999998934</v>
      </c>
      <c r="AO177" s="3"/>
      <c r="AP177" s="3"/>
      <c r="AQ177" s="3"/>
      <c r="AS177" s="3"/>
      <c r="AT177" s="3"/>
      <c r="AU177" s="3"/>
      <c r="AW177" s="3"/>
      <c r="AX177" s="3"/>
      <c r="AY177" s="3"/>
      <c r="BA177" s="3"/>
      <c r="BB177" s="3"/>
      <c r="BC177" s="3"/>
      <c r="BD177" s="3"/>
      <c r="BE177" s="3"/>
    </row>
    <row r="178" spans="1:57" x14ac:dyDescent="0.25">
      <c r="A178" s="3"/>
      <c r="B178" s="3"/>
      <c r="C178" s="3"/>
      <c r="E178" s="3"/>
      <c r="F178" s="3"/>
      <c r="G178" s="3"/>
      <c r="I178" s="3"/>
      <c r="J178" s="3"/>
      <c r="K178" s="3"/>
      <c r="M178" s="3"/>
      <c r="N178" s="3"/>
      <c r="O178" s="3"/>
      <c r="Q178" s="3"/>
      <c r="R178" s="3"/>
      <c r="S178" s="3"/>
      <c r="T178" s="3"/>
      <c r="U178" s="2" t="s">
        <v>113</v>
      </c>
      <c r="V178" s="2">
        <v>1.4353</v>
      </c>
      <c r="W178" s="2">
        <f t="shared" si="5"/>
        <v>5.0000000000001155</v>
      </c>
      <c r="Y178" s="2" t="s">
        <v>113</v>
      </c>
      <c r="Z178" s="2">
        <v>1.4411</v>
      </c>
      <c r="AA178" s="2">
        <f t="shared" si="6"/>
        <v>5.0000000000001155</v>
      </c>
      <c r="AC178" s="2" t="s">
        <v>113</v>
      </c>
      <c r="AD178" s="2">
        <v>1.7504</v>
      </c>
      <c r="AE178" s="2">
        <f t="shared" si="7"/>
        <v>4.8999999999999044</v>
      </c>
      <c r="AG178" s="2" t="s">
        <v>113</v>
      </c>
      <c r="AH178" s="2">
        <v>1.7524999999999999</v>
      </c>
      <c r="AI178" s="2">
        <f t="shared" si="8"/>
        <v>4.9999999999998934</v>
      </c>
      <c r="AJ178" s="3"/>
      <c r="AK178" s="2" t="s">
        <v>113</v>
      </c>
      <c r="AL178" s="2">
        <v>1.7508999999999999</v>
      </c>
      <c r="AM178" s="2">
        <f t="shared" si="9"/>
        <v>4.8999999999999044</v>
      </c>
      <c r="AO178" s="3"/>
      <c r="AP178" s="3"/>
      <c r="AQ178" s="3"/>
      <c r="AS178" s="3"/>
      <c r="AT178" s="3"/>
      <c r="AU178" s="3"/>
      <c r="AW178" s="3"/>
      <c r="AX178" s="3"/>
      <c r="AY178" s="3"/>
      <c r="BA178" s="3"/>
      <c r="BB178" s="3"/>
      <c r="BC178" s="3"/>
      <c r="BD178" s="3"/>
      <c r="BE178" s="3"/>
    </row>
    <row r="179" spans="1:57" x14ac:dyDescent="0.25">
      <c r="A179" s="3"/>
      <c r="B179" s="3"/>
      <c r="C179" s="3"/>
      <c r="E179" s="3"/>
      <c r="F179" s="3"/>
      <c r="G179" s="3"/>
      <c r="I179" s="3"/>
      <c r="J179" s="3"/>
      <c r="K179" s="3"/>
      <c r="M179" s="3"/>
      <c r="N179" s="3"/>
      <c r="O179" s="3"/>
      <c r="Q179" s="3"/>
      <c r="R179" s="3"/>
      <c r="S179" s="3"/>
      <c r="T179" s="3"/>
      <c r="U179" s="2" t="s">
        <v>114</v>
      </c>
      <c r="V179" s="2">
        <v>1.4402999999999999</v>
      </c>
      <c r="W179" s="2">
        <f t="shared" si="5"/>
        <v>4.9999999999998934</v>
      </c>
      <c r="Y179" s="2" t="s">
        <v>114</v>
      </c>
      <c r="Z179" s="2">
        <v>1.4459</v>
      </c>
      <c r="AA179" s="2">
        <f t="shared" si="6"/>
        <v>4.7999999999999154</v>
      </c>
      <c r="AC179" s="2" t="s">
        <v>114</v>
      </c>
      <c r="AD179" s="2">
        <v>1.7554000000000001</v>
      </c>
      <c r="AE179" s="2">
        <f t="shared" si="7"/>
        <v>5.0000000000001155</v>
      </c>
      <c r="AG179" s="2" t="s">
        <v>114</v>
      </c>
      <c r="AH179" s="2">
        <v>1.7576000000000001</v>
      </c>
      <c r="AI179" s="2">
        <f t="shared" si="8"/>
        <v>5.1000000000001044</v>
      </c>
      <c r="AJ179" s="3"/>
      <c r="AK179" s="2" t="s">
        <v>114</v>
      </c>
      <c r="AL179" s="2">
        <v>1.7559</v>
      </c>
      <c r="AM179" s="2">
        <f t="shared" si="9"/>
        <v>5.0000000000001155</v>
      </c>
      <c r="AO179" s="3"/>
      <c r="AP179" s="3"/>
      <c r="AQ179" s="3"/>
      <c r="AS179" s="3"/>
      <c r="AT179" s="3"/>
      <c r="AU179" s="3"/>
      <c r="AW179" s="3"/>
      <c r="AX179" s="3"/>
      <c r="AY179" s="3"/>
      <c r="BA179" s="3"/>
      <c r="BB179" s="3"/>
      <c r="BC179" s="3"/>
      <c r="BD179" s="3"/>
      <c r="BE179" s="3"/>
    </row>
    <row r="180" spans="1:57" x14ac:dyDescent="0.25">
      <c r="A180" s="3"/>
      <c r="B180" s="3"/>
      <c r="C180" s="3"/>
      <c r="E180" s="3"/>
      <c r="F180" s="3"/>
      <c r="G180" s="3"/>
      <c r="I180" s="3"/>
      <c r="J180" s="3"/>
      <c r="K180" s="3"/>
      <c r="M180" s="3"/>
      <c r="N180" s="3"/>
      <c r="O180" s="3"/>
      <c r="Q180" s="3"/>
      <c r="R180" s="3"/>
      <c r="S180" s="3"/>
      <c r="T180" s="3"/>
      <c r="U180" s="2" t="s">
        <v>115</v>
      </c>
      <c r="V180" s="2">
        <v>1.4448000000000001</v>
      </c>
      <c r="W180" s="2">
        <f t="shared" si="5"/>
        <v>4.5000000000001705</v>
      </c>
      <c r="Y180" s="2" t="s">
        <v>115</v>
      </c>
      <c r="Z180" s="2">
        <v>1.4505999999999999</v>
      </c>
      <c r="AA180" s="2">
        <f t="shared" si="6"/>
        <v>4.6999999999999265</v>
      </c>
      <c r="AC180" s="2" t="s">
        <v>115</v>
      </c>
      <c r="AD180" s="2">
        <v>1.7607999999999999</v>
      </c>
      <c r="AE180" s="2">
        <f t="shared" si="7"/>
        <v>5.3999999999998494</v>
      </c>
      <c r="AG180" s="2" t="s">
        <v>115</v>
      </c>
      <c r="AH180" s="2">
        <v>1.7627999999999999</v>
      </c>
      <c r="AI180" s="2">
        <f t="shared" si="8"/>
        <v>5.1999999999998714</v>
      </c>
      <c r="AJ180" s="3"/>
      <c r="AK180" s="2" t="s">
        <v>115</v>
      </c>
      <c r="AL180" s="2">
        <v>1.7608999999999999</v>
      </c>
      <c r="AM180" s="2">
        <f t="shared" si="9"/>
        <v>4.9999999999998934</v>
      </c>
      <c r="AO180" s="3"/>
      <c r="AP180" s="3"/>
      <c r="AQ180" s="3"/>
      <c r="AS180" s="3"/>
      <c r="AT180" s="3"/>
      <c r="AU180" s="3"/>
      <c r="AW180" s="3"/>
      <c r="AX180" s="3"/>
      <c r="AY180" s="3"/>
      <c r="BA180" s="3"/>
      <c r="BB180" s="3"/>
      <c r="BC180" s="3"/>
      <c r="BD180" s="3"/>
      <c r="BE180" s="3"/>
    </row>
    <row r="181" spans="1:57" x14ac:dyDescent="0.25">
      <c r="A181" s="3"/>
      <c r="B181" s="3"/>
      <c r="C181" s="3"/>
      <c r="E181" s="3"/>
      <c r="F181" s="3"/>
      <c r="G181" s="3"/>
      <c r="I181" s="3"/>
      <c r="J181" s="3"/>
      <c r="K181" s="3"/>
      <c r="M181" s="3"/>
      <c r="N181" s="3"/>
      <c r="O181" s="3"/>
      <c r="Q181" s="3"/>
      <c r="R181" s="3"/>
      <c r="S181" s="3"/>
      <c r="T181" s="3"/>
      <c r="U181" s="2" t="s">
        <v>116</v>
      </c>
      <c r="V181" s="2">
        <v>1.4497</v>
      </c>
      <c r="W181" s="2">
        <f t="shared" si="5"/>
        <v>4.8999999999999044</v>
      </c>
      <c r="Y181" s="2" t="s">
        <v>116</v>
      </c>
      <c r="Z181" s="2">
        <v>1.4554</v>
      </c>
      <c r="AA181" s="2">
        <f t="shared" si="6"/>
        <v>4.8000000000001375</v>
      </c>
      <c r="AC181" s="2" t="s">
        <v>116</v>
      </c>
      <c r="AD181" s="2">
        <v>1.7657</v>
      </c>
      <c r="AE181" s="2">
        <f t="shared" si="7"/>
        <v>4.9000000000001265</v>
      </c>
      <c r="AG181" s="2" t="s">
        <v>116</v>
      </c>
      <c r="AH181" s="2">
        <v>1.7679</v>
      </c>
      <c r="AI181" s="2">
        <f t="shared" si="8"/>
        <v>5.1000000000001044</v>
      </c>
      <c r="AJ181" s="3"/>
      <c r="AK181" s="2" t="s">
        <v>116</v>
      </c>
      <c r="AL181" s="2">
        <v>1.7658</v>
      </c>
      <c r="AM181" s="2">
        <f t="shared" si="9"/>
        <v>4.9000000000001265</v>
      </c>
      <c r="AO181" s="3"/>
      <c r="AP181" s="3"/>
      <c r="AQ181" s="3"/>
      <c r="AS181" s="3"/>
      <c r="AT181" s="3"/>
      <c r="AU181" s="3"/>
      <c r="AW181" s="3"/>
      <c r="AX181" s="3"/>
      <c r="AY181" s="3"/>
      <c r="BA181" s="3"/>
      <c r="BB181" s="3"/>
      <c r="BC181" s="3"/>
      <c r="BD181" s="3"/>
      <c r="BE181" s="3"/>
    </row>
    <row r="182" spans="1:57" x14ac:dyDescent="0.25">
      <c r="A182" s="3"/>
      <c r="B182" s="3"/>
      <c r="C182" s="3"/>
      <c r="E182" s="3"/>
      <c r="F182" s="3"/>
      <c r="G182" s="3"/>
      <c r="I182" s="3"/>
      <c r="J182" s="3"/>
      <c r="K182" s="3"/>
      <c r="M182" s="3"/>
      <c r="N182" s="3"/>
      <c r="O182" s="3"/>
      <c r="Q182" s="3"/>
      <c r="R182" s="3"/>
      <c r="S182" s="3"/>
      <c r="T182" s="3"/>
      <c r="U182" s="2" t="s">
        <v>117</v>
      </c>
      <c r="V182" s="2">
        <v>1.4544999999999999</v>
      </c>
      <c r="W182" s="2">
        <f t="shared" si="5"/>
        <v>4.7999999999999154</v>
      </c>
      <c r="Y182" s="2" t="s">
        <v>117</v>
      </c>
      <c r="Z182" s="2">
        <v>1.4604999999999999</v>
      </c>
      <c r="AA182" s="2">
        <f t="shared" si="6"/>
        <v>5.0999999999998824</v>
      </c>
      <c r="AC182" s="2" t="s">
        <v>117</v>
      </c>
      <c r="AD182" s="2">
        <v>1.7706</v>
      </c>
      <c r="AE182" s="2">
        <f t="shared" si="7"/>
        <v>4.8999999999999044</v>
      </c>
      <c r="AG182" s="2" t="s">
        <v>117</v>
      </c>
      <c r="AH182" s="2">
        <v>1.7728999999999999</v>
      </c>
      <c r="AI182" s="2">
        <f t="shared" si="8"/>
        <v>4.9999999999998934</v>
      </c>
      <c r="AJ182" s="3"/>
      <c r="AK182" s="2" t="s">
        <v>117</v>
      </c>
      <c r="AL182" s="2">
        <v>1.7707999999999999</v>
      </c>
      <c r="AM182" s="2">
        <f t="shared" si="9"/>
        <v>4.9999999999998934</v>
      </c>
      <c r="AO182" s="3"/>
      <c r="AP182" s="3"/>
      <c r="AQ182" s="3"/>
      <c r="AS182" s="3"/>
      <c r="AT182" s="3"/>
      <c r="AU182" s="3"/>
      <c r="AW182" s="3"/>
      <c r="AX182" s="3"/>
      <c r="AY182" s="3"/>
      <c r="BA182" s="3"/>
      <c r="BB182" s="3"/>
      <c r="BC182" s="3"/>
      <c r="BD182" s="3"/>
      <c r="BE182" s="3"/>
    </row>
    <row r="183" spans="1:57" x14ac:dyDescent="0.25">
      <c r="A183" s="3"/>
      <c r="B183" s="3"/>
      <c r="C183" s="3"/>
      <c r="E183" s="3"/>
      <c r="F183" s="3"/>
      <c r="G183" s="3"/>
      <c r="I183" s="3"/>
      <c r="J183" s="3"/>
      <c r="K183" s="3"/>
      <c r="M183" s="3"/>
      <c r="N183" s="3"/>
      <c r="O183" s="3"/>
      <c r="Q183" s="3"/>
      <c r="R183" s="3"/>
      <c r="S183" s="3"/>
      <c r="T183" s="3"/>
      <c r="U183" s="2" t="s">
        <v>118</v>
      </c>
      <c r="V183" s="2">
        <v>1.4597</v>
      </c>
      <c r="W183" s="2">
        <f t="shared" si="5"/>
        <v>5.2000000000000934</v>
      </c>
      <c r="Y183" s="2" t="s">
        <v>118</v>
      </c>
      <c r="Z183" s="2">
        <v>1.4654</v>
      </c>
      <c r="AA183" s="2">
        <f t="shared" si="6"/>
        <v>4.9000000000001265</v>
      </c>
      <c r="AC183" s="2" t="s">
        <v>118</v>
      </c>
      <c r="AD183" s="2">
        <v>1.7757000000000001</v>
      </c>
      <c r="AE183" s="2">
        <f t="shared" si="7"/>
        <v>5.1000000000001044</v>
      </c>
      <c r="AG183" s="2" t="s">
        <v>118</v>
      </c>
      <c r="AH183" s="2">
        <v>1.778</v>
      </c>
      <c r="AI183" s="2">
        <f t="shared" si="8"/>
        <v>5.1000000000001044</v>
      </c>
      <c r="AJ183" s="3"/>
      <c r="AK183" s="2" t="s">
        <v>118</v>
      </c>
      <c r="AL183" s="2">
        <v>1.7758</v>
      </c>
      <c r="AM183" s="2">
        <f t="shared" si="9"/>
        <v>5.0000000000001155</v>
      </c>
      <c r="AO183" s="3"/>
      <c r="AP183" s="3"/>
      <c r="AQ183" s="3"/>
      <c r="AS183" s="3"/>
      <c r="AT183" s="3"/>
      <c r="AU183" s="3"/>
      <c r="AW183" s="3"/>
      <c r="AX183" s="3"/>
      <c r="AY183" s="3"/>
      <c r="BA183" s="3"/>
      <c r="BB183" s="3"/>
      <c r="BC183" s="3"/>
      <c r="BD183" s="3"/>
      <c r="BE183" s="3"/>
    </row>
    <row r="184" spans="1:57" x14ac:dyDescent="0.25">
      <c r="A184" s="3"/>
      <c r="B184" s="3"/>
      <c r="C184" s="3"/>
      <c r="E184" s="3"/>
      <c r="F184" s="3"/>
      <c r="G184" s="3"/>
      <c r="I184" s="3"/>
      <c r="J184" s="3"/>
      <c r="K184" s="3"/>
      <c r="M184" s="3"/>
      <c r="N184" s="3"/>
      <c r="O184" s="3"/>
      <c r="Q184" s="3"/>
      <c r="R184" s="3"/>
      <c r="S184" s="3"/>
      <c r="T184" s="3"/>
      <c r="U184" s="2" t="s">
        <v>119</v>
      </c>
      <c r="V184" s="2">
        <v>1.4645999999999999</v>
      </c>
      <c r="W184" s="2">
        <f t="shared" si="5"/>
        <v>4.8999999999999044</v>
      </c>
      <c r="Y184" s="2" t="s">
        <v>119</v>
      </c>
      <c r="Z184" s="2">
        <v>1.4703999999999999</v>
      </c>
      <c r="AA184" s="2">
        <f t="shared" si="6"/>
        <v>4.9999999999998934</v>
      </c>
      <c r="AC184" s="2" t="s">
        <v>119</v>
      </c>
      <c r="AD184" s="2">
        <v>1.7807999999999999</v>
      </c>
      <c r="AE184" s="2">
        <f t="shared" si="7"/>
        <v>5.0999999999998824</v>
      </c>
      <c r="AG184" s="2" t="s">
        <v>119</v>
      </c>
      <c r="AH184" s="2">
        <v>1.782</v>
      </c>
      <c r="AI184" s="2">
        <f t="shared" si="8"/>
        <v>4.0000000000000036</v>
      </c>
      <c r="AJ184" s="3"/>
      <c r="AK184" s="2" t="s">
        <v>119</v>
      </c>
      <c r="AL184" s="2">
        <v>1.7806999999999999</v>
      </c>
      <c r="AM184" s="2">
        <f t="shared" si="9"/>
        <v>4.8999999999999044</v>
      </c>
      <c r="AO184" s="3"/>
      <c r="AP184" s="3"/>
      <c r="AQ184" s="3"/>
      <c r="AS184" s="3"/>
      <c r="AT184" s="3"/>
      <c r="AU184" s="3"/>
      <c r="AW184" s="3"/>
      <c r="AX184" s="3"/>
      <c r="AY184" s="3"/>
      <c r="BA184" s="3"/>
      <c r="BB184" s="3"/>
      <c r="BC184" s="3"/>
      <c r="BD184" s="3"/>
      <c r="BE184" s="3"/>
    </row>
    <row r="185" spans="1:57" x14ac:dyDescent="0.25">
      <c r="A185" s="3"/>
      <c r="B185" s="3"/>
      <c r="C185" s="3"/>
      <c r="E185" s="3"/>
      <c r="F185" s="3"/>
      <c r="G185" s="3"/>
      <c r="I185" s="3"/>
      <c r="J185" s="3"/>
      <c r="K185" s="3"/>
      <c r="M185" s="3"/>
      <c r="N185" s="3"/>
      <c r="O185" s="3"/>
      <c r="Q185" s="3"/>
      <c r="R185" s="3"/>
      <c r="S185" s="3"/>
      <c r="T185" s="3"/>
      <c r="U185" s="2" t="s">
        <v>120</v>
      </c>
      <c r="V185" s="2">
        <v>1.4694</v>
      </c>
      <c r="W185" s="2">
        <f t="shared" si="5"/>
        <v>4.8000000000001375</v>
      </c>
      <c r="Y185" s="2" t="s">
        <v>120</v>
      </c>
      <c r="Z185" s="2">
        <v>1.4752000000000001</v>
      </c>
      <c r="AA185" s="2">
        <f t="shared" si="6"/>
        <v>4.8000000000001375</v>
      </c>
      <c r="AC185" s="2" t="s">
        <v>120</v>
      </c>
      <c r="AD185" s="2">
        <v>1.7857000000000001</v>
      </c>
      <c r="AE185" s="2">
        <f t="shared" si="7"/>
        <v>4.9000000000001265</v>
      </c>
      <c r="AG185" s="2" t="s">
        <v>120</v>
      </c>
      <c r="AH185" s="2">
        <v>1.7868999999999999</v>
      </c>
      <c r="AI185" s="2">
        <f t="shared" si="8"/>
        <v>4.8999999999999044</v>
      </c>
      <c r="AJ185" s="3"/>
      <c r="AK185" s="2" t="s">
        <v>120</v>
      </c>
      <c r="AL185" s="2">
        <v>1.7856000000000001</v>
      </c>
      <c r="AM185" s="2">
        <f t="shared" si="9"/>
        <v>4.9000000000001265</v>
      </c>
      <c r="AO185" s="3"/>
      <c r="AP185" s="3"/>
      <c r="AQ185" s="3"/>
      <c r="AS185" s="3"/>
      <c r="AT185" s="3"/>
      <c r="AU185" s="3"/>
      <c r="AW185" s="3"/>
      <c r="AX185" s="3"/>
      <c r="AY185" s="3"/>
      <c r="BA185" s="3"/>
      <c r="BB185" s="3"/>
      <c r="BC185" s="3"/>
      <c r="BD185" s="3"/>
      <c r="BE185" s="3"/>
    </row>
    <row r="186" spans="1:57" x14ac:dyDescent="0.25">
      <c r="A186" s="3"/>
      <c r="B186" s="3"/>
      <c r="C186" s="3"/>
      <c r="E186" s="3"/>
      <c r="F186" s="3"/>
      <c r="G186" s="3"/>
      <c r="I186" s="3"/>
      <c r="J186" s="3"/>
      <c r="K186" s="3"/>
      <c r="M186" s="3"/>
      <c r="N186" s="3"/>
      <c r="O186" s="3"/>
      <c r="Q186" s="3"/>
      <c r="R186" s="3"/>
      <c r="S186" s="3"/>
      <c r="T186" s="3"/>
      <c r="U186" s="2" t="s">
        <v>121</v>
      </c>
      <c r="V186" s="2">
        <v>1.4748000000000001</v>
      </c>
      <c r="W186" s="2">
        <f t="shared" si="5"/>
        <v>5.4000000000000714</v>
      </c>
      <c r="Y186" s="2" t="s">
        <v>121</v>
      </c>
      <c r="Z186" s="2">
        <v>1.4802999999999999</v>
      </c>
      <c r="AA186" s="2">
        <f t="shared" si="6"/>
        <v>5.0999999999998824</v>
      </c>
      <c r="AC186" s="2" t="s">
        <v>121</v>
      </c>
      <c r="AD186" s="2">
        <v>1.7907</v>
      </c>
      <c r="AE186" s="2">
        <f t="shared" si="7"/>
        <v>4.9999999999998934</v>
      </c>
      <c r="AG186" s="2" t="s">
        <v>121</v>
      </c>
      <c r="AH186" s="2">
        <v>1.792</v>
      </c>
      <c r="AI186" s="2">
        <f t="shared" si="8"/>
        <v>5.1000000000001044</v>
      </c>
      <c r="AJ186" s="3"/>
      <c r="AK186" s="2" t="s">
        <v>121</v>
      </c>
      <c r="AL186" s="2">
        <v>1.7906</v>
      </c>
      <c r="AM186" s="2">
        <f t="shared" si="9"/>
        <v>4.9999999999998934</v>
      </c>
      <c r="AO186" s="3"/>
      <c r="AP186" s="3"/>
      <c r="AQ186" s="3"/>
      <c r="AS186" s="3"/>
      <c r="AT186" s="3"/>
      <c r="AU186" s="3"/>
      <c r="AW186" s="3"/>
      <c r="AX186" s="3"/>
      <c r="AY186" s="3"/>
      <c r="BA186" s="3"/>
      <c r="BB186" s="3"/>
      <c r="BC186" s="3"/>
      <c r="BD186" s="3"/>
      <c r="BE186" s="3"/>
    </row>
    <row r="187" spans="1:57" x14ac:dyDescent="0.25">
      <c r="A187" s="3"/>
      <c r="B187" s="3"/>
      <c r="C187" s="3"/>
      <c r="E187" s="3"/>
      <c r="F187" s="3"/>
      <c r="G187" s="3"/>
      <c r="I187" s="3"/>
      <c r="J187" s="3"/>
      <c r="K187" s="3"/>
      <c r="M187" s="3"/>
      <c r="N187" s="3"/>
      <c r="O187" s="3"/>
      <c r="Q187" s="3"/>
      <c r="R187" s="3"/>
      <c r="S187" s="3"/>
      <c r="T187" s="3"/>
      <c r="U187" s="2" t="s">
        <v>122</v>
      </c>
      <c r="V187" s="2">
        <v>1.4795</v>
      </c>
      <c r="W187" s="2">
        <f t="shared" si="5"/>
        <v>4.6999999999999265</v>
      </c>
      <c r="Y187" s="2" t="s">
        <v>122</v>
      </c>
      <c r="Z187" s="2">
        <v>1.4850000000000001</v>
      </c>
      <c r="AA187" s="2">
        <f t="shared" si="6"/>
        <v>4.7000000000001485</v>
      </c>
      <c r="AC187" s="2" t="s">
        <v>122</v>
      </c>
      <c r="AD187" s="2">
        <v>1.7956000000000001</v>
      </c>
      <c r="AE187" s="2">
        <f t="shared" si="7"/>
        <v>4.9000000000001265</v>
      </c>
      <c r="AG187" s="2" t="s">
        <v>122</v>
      </c>
      <c r="AH187" s="2">
        <v>1.7969999999999999</v>
      </c>
      <c r="AI187" s="2">
        <f t="shared" si="8"/>
        <v>4.9999999999998934</v>
      </c>
      <c r="AJ187" s="3"/>
      <c r="AK187" s="2" t="s">
        <v>122</v>
      </c>
      <c r="AL187" s="2">
        <v>1.7955000000000001</v>
      </c>
      <c r="AM187" s="2">
        <f t="shared" si="9"/>
        <v>4.9000000000001265</v>
      </c>
      <c r="AO187" s="3"/>
      <c r="AP187" s="3"/>
      <c r="AQ187" s="3"/>
      <c r="AS187" s="3"/>
      <c r="AT187" s="3"/>
      <c r="AU187" s="3"/>
      <c r="AW187" s="3"/>
      <c r="AX187" s="3"/>
      <c r="AY187" s="3"/>
      <c r="BA187" s="3"/>
      <c r="BB187" s="3"/>
      <c r="BC187" s="3"/>
      <c r="BD187" s="3"/>
      <c r="BE187" s="3"/>
    </row>
    <row r="188" spans="1:57" x14ac:dyDescent="0.25">
      <c r="A188" s="3"/>
      <c r="B188" s="3"/>
      <c r="C188" s="3"/>
      <c r="E188" s="3"/>
      <c r="F188" s="3"/>
      <c r="G188" s="3"/>
      <c r="I188" s="3"/>
      <c r="J188" s="3"/>
      <c r="K188" s="3"/>
      <c r="M188" s="3"/>
      <c r="N188" s="3"/>
      <c r="O188" s="3"/>
      <c r="Q188" s="3"/>
      <c r="R188" s="3"/>
      <c r="S188" s="3"/>
      <c r="T188" s="3"/>
      <c r="U188" s="2" t="s">
        <v>123</v>
      </c>
      <c r="V188" s="2">
        <v>1.4841</v>
      </c>
      <c r="W188" s="2">
        <f t="shared" si="5"/>
        <v>4.5999999999999375</v>
      </c>
      <c r="Y188" s="2" t="s">
        <v>123</v>
      </c>
      <c r="Z188" s="2">
        <v>1.4898</v>
      </c>
      <c r="AA188" s="2">
        <f t="shared" si="6"/>
        <v>4.7999999999999154</v>
      </c>
      <c r="AC188" s="2" t="s">
        <v>123</v>
      </c>
      <c r="AD188" s="2">
        <v>1.8009999999999999</v>
      </c>
      <c r="AE188" s="2">
        <f t="shared" si="7"/>
        <v>5.3999999999998494</v>
      </c>
      <c r="AG188" s="2" t="s">
        <v>123</v>
      </c>
      <c r="AH188" s="2">
        <v>1.8024</v>
      </c>
      <c r="AI188" s="2">
        <f t="shared" si="8"/>
        <v>5.4000000000000714</v>
      </c>
      <c r="AJ188" s="3"/>
      <c r="AK188" s="2" t="s">
        <v>123</v>
      </c>
      <c r="AL188" s="2">
        <v>1.8005</v>
      </c>
      <c r="AM188" s="2">
        <f t="shared" si="9"/>
        <v>4.9999999999998934</v>
      </c>
      <c r="AO188" s="3"/>
      <c r="AP188" s="3"/>
      <c r="AQ188" s="3"/>
      <c r="AS188" s="3"/>
      <c r="AT188" s="3"/>
      <c r="AU188" s="3"/>
      <c r="AW188" s="3"/>
      <c r="AX188" s="3"/>
      <c r="AY188" s="3"/>
      <c r="BA188" s="3"/>
      <c r="BB188" s="3"/>
      <c r="BC188" s="3"/>
      <c r="BD188" s="3"/>
      <c r="BE188" s="3"/>
    </row>
    <row r="189" spans="1:57" x14ac:dyDescent="0.25">
      <c r="A189" s="3"/>
      <c r="B189" s="3"/>
      <c r="C189" s="3"/>
      <c r="E189" s="3"/>
      <c r="F189" s="3"/>
      <c r="G189" s="3"/>
      <c r="I189" s="3"/>
      <c r="J189" s="3"/>
      <c r="K189" s="3"/>
      <c r="M189" s="3"/>
      <c r="N189" s="3"/>
      <c r="O189" s="3"/>
      <c r="Q189" s="3"/>
      <c r="R189" s="3"/>
      <c r="S189" s="3"/>
      <c r="T189" s="3"/>
      <c r="U189" s="2" t="s">
        <v>124</v>
      </c>
      <c r="V189" s="2">
        <v>1.4891000000000001</v>
      </c>
      <c r="W189" s="2">
        <f t="shared" si="5"/>
        <v>5.0000000000001155</v>
      </c>
      <c r="Y189" s="2" t="s">
        <v>124</v>
      </c>
      <c r="Z189" s="2">
        <v>1.4945999999999999</v>
      </c>
      <c r="AA189" s="2">
        <f t="shared" si="6"/>
        <v>4.7999999999999154</v>
      </c>
      <c r="AC189" s="2" t="s">
        <v>124</v>
      </c>
      <c r="AD189" s="2">
        <v>1.8061</v>
      </c>
      <c r="AE189" s="2">
        <f t="shared" si="7"/>
        <v>5.1000000000001044</v>
      </c>
      <c r="AG189" s="2" t="s">
        <v>124</v>
      </c>
      <c r="AH189" s="2">
        <v>1.8077000000000001</v>
      </c>
      <c r="AI189" s="2">
        <f t="shared" si="8"/>
        <v>5.3000000000000824</v>
      </c>
      <c r="AJ189" s="3"/>
      <c r="AK189" s="2" t="s">
        <v>124</v>
      </c>
      <c r="AL189" s="2">
        <v>1.8056000000000001</v>
      </c>
      <c r="AM189" s="2">
        <f t="shared" si="9"/>
        <v>5.1000000000001044</v>
      </c>
      <c r="AO189" s="3"/>
      <c r="AP189" s="3"/>
      <c r="AQ189" s="3"/>
      <c r="AS189" s="3"/>
      <c r="AT189" s="3"/>
      <c r="AU189" s="3"/>
      <c r="AW189" s="3"/>
      <c r="AX189" s="3"/>
      <c r="AY189" s="3"/>
      <c r="BA189" s="3"/>
      <c r="BB189" s="3"/>
      <c r="BC189" s="3"/>
      <c r="BD189" s="3"/>
      <c r="BE189" s="3"/>
    </row>
    <row r="190" spans="1:57" x14ac:dyDescent="0.25">
      <c r="A190" s="3"/>
      <c r="B190" s="3"/>
      <c r="C190" s="3"/>
      <c r="E190" s="3"/>
      <c r="F190" s="3"/>
      <c r="G190" s="3"/>
      <c r="I190" s="3"/>
      <c r="J190" s="3"/>
      <c r="K190" s="3"/>
      <c r="M190" s="3"/>
      <c r="N190" s="3"/>
      <c r="O190" s="3"/>
      <c r="Q190" s="3"/>
      <c r="R190" s="3"/>
      <c r="S190" s="3"/>
      <c r="T190" s="3"/>
      <c r="U190" s="2" t="s">
        <v>125</v>
      </c>
      <c r="V190" s="2">
        <v>1.4942</v>
      </c>
      <c r="W190" s="2">
        <f t="shared" si="5"/>
        <v>5.0999999999998824</v>
      </c>
      <c r="Y190" s="2" t="s">
        <v>125</v>
      </c>
      <c r="Z190" s="2">
        <v>1.4997</v>
      </c>
      <c r="AA190" s="2">
        <f t="shared" si="6"/>
        <v>5.1000000000001044</v>
      </c>
      <c r="AC190" s="2" t="s">
        <v>125</v>
      </c>
      <c r="AD190" s="2">
        <v>1.8110999999999999</v>
      </c>
      <c r="AE190" s="2">
        <f t="shared" si="7"/>
        <v>4.9999999999998934</v>
      </c>
      <c r="AG190" s="2" t="s">
        <v>125</v>
      </c>
      <c r="AH190" s="2">
        <v>1.8127</v>
      </c>
      <c r="AI190" s="2">
        <f t="shared" si="8"/>
        <v>4.9999999999998934</v>
      </c>
      <c r="AJ190" s="3"/>
      <c r="AK190" s="2" t="s">
        <v>125</v>
      </c>
      <c r="AL190" s="2">
        <v>1.8106</v>
      </c>
      <c r="AM190" s="2">
        <f t="shared" si="9"/>
        <v>4.9999999999998934</v>
      </c>
      <c r="AO190" s="3"/>
      <c r="AP190" s="3"/>
      <c r="AQ190" s="3"/>
      <c r="AS190" s="3"/>
      <c r="AT190" s="3"/>
      <c r="AU190" s="3"/>
      <c r="AW190" s="3"/>
      <c r="AX190" s="3"/>
      <c r="AY190" s="3"/>
      <c r="BA190" s="3"/>
      <c r="BB190" s="3"/>
      <c r="BC190" s="3"/>
      <c r="BD190" s="3"/>
      <c r="BE190" s="3"/>
    </row>
    <row r="191" spans="1:57" x14ac:dyDescent="0.25">
      <c r="A191" s="3"/>
      <c r="B191" s="3"/>
      <c r="C191" s="3"/>
      <c r="E191" s="3"/>
      <c r="F191" s="3"/>
      <c r="G191" s="3"/>
      <c r="I191" s="3"/>
      <c r="J191" s="3"/>
      <c r="K191" s="3"/>
      <c r="M191" s="3"/>
      <c r="N191" s="3"/>
      <c r="O191" s="3"/>
      <c r="Q191" s="3"/>
      <c r="R191" s="3"/>
      <c r="S191" s="3"/>
      <c r="T191" s="3"/>
      <c r="U191" s="2" t="s">
        <v>126</v>
      </c>
      <c r="V191" s="2">
        <v>1.4990000000000001</v>
      </c>
      <c r="W191" s="2">
        <f t="shared" si="5"/>
        <v>4.8000000000001375</v>
      </c>
      <c r="Y191" s="2"/>
      <c r="Z191" s="2"/>
      <c r="AA191" s="2">
        <f>AVERAGE(AA9:AA190)</f>
        <v>4.9571428571428608</v>
      </c>
      <c r="AC191" s="2" t="s">
        <v>126</v>
      </c>
      <c r="AD191" s="2">
        <v>1.8161</v>
      </c>
      <c r="AE191" s="2">
        <f t="shared" si="7"/>
        <v>5.0000000000001155</v>
      </c>
      <c r="AG191" s="2" t="s">
        <v>126</v>
      </c>
      <c r="AH191" s="2">
        <v>1.8178000000000001</v>
      </c>
      <c r="AI191" s="2">
        <f t="shared" si="8"/>
        <v>5.1000000000001044</v>
      </c>
      <c r="AJ191" s="3"/>
      <c r="AK191" s="2" t="s">
        <v>126</v>
      </c>
      <c r="AL191" s="2">
        <v>1.8156000000000001</v>
      </c>
      <c r="AM191" s="2">
        <f t="shared" si="9"/>
        <v>5.0000000000001155</v>
      </c>
      <c r="AO191" s="3"/>
      <c r="AP191" s="3"/>
      <c r="AQ191" s="3"/>
      <c r="AS191" s="3"/>
      <c r="AT191" s="3"/>
      <c r="AU191" s="3"/>
      <c r="AW191" s="3"/>
      <c r="AX191" s="3"/>
      <c r="AY191" s="3"/>
      <c r="BA191" s="3"/>
      <c r="BB191" s="3"/>
      <c r="BC191" s="3"/>
      <c r="BD191" s="3"/>
      <c r="BE191" s="3"/>
    </row>
    <row r="192" spans="1:57" x14ac:dyDescent="0.25">
      <c r="A192" s="3"/>
      <c r="B192" s="3"/>
      <c r="C192" s="3"/>
      <c r="E192" s="3"/>
      <c r="F192" s="3"/>
      <c r="G192" s="3"/>
      <c r="I192" s="3"/>
      <c r="J192" s="3"/>
      <c r="K192" s="3"/>
      <c r="M192" s="3"/>
      <c r="N192" s="3"/>
      <c r="O192" s="3"/>
      <c r="Q192" s="3"/>
      <c r="R192" s="3"/>
      <c r="S192" s="3"/>
      <c r="T192" s="3"/>
      <c r="U192" s="3"/>
      <c r="V192" s="2"/>
      <c r="W192" s="2">
        <f>AVERAGE(W10:W191)</f>
        <v>4.9384615384615396</v>
      </c>
      <c r="Y192" s="2"/>
      <c r="Z192" s="2"/>
      <c r="AA192" s="2"/>
      <c r="AC192" s="2" t="s">
        <v>139</v>
      </c>
      <c r="AD192" s="2">
        <v>1.8209</v>
      </c>
      <c r="AE192" s="2">
        <f t="shared" si="7"/>
        <v>4.7999999999999154</v>
      </c>
      <c r="AG192" s="2" t="s">
        <v>139</v>
      </c>
      <c r="AH192" s="2">
        <v>1.8227</v>
      </c>
      <c r="AI192" s="2">
        <f t="shared" si="8"/>
        <v>4.8999999999999044</v>
      </c>
      <c r="AJ192" s="3"/>
      <c r="AK192" s="2" t="s">
        <v>139</v>
      </c>
      <c r="AL192" s="2">
        <v>1.8205</v>
      </c>
      <c r="AM192" s="2">
        <f t="shared" si="9"/>
        <v>4.8999999999999044</v>
      </c>
      <c r="AO192" s="3"/>
      <c r="AP192" s="3"/>
      <c r="AQ192" s="3"/>
      <c r="AS192" s="3"/>
      <c r="AT192" s="3"/>
      <c r="AU192" s="3"/>
      <c r="AW192" s="3"/>
      <c r="AX192" s="3"/>
      <c r="AY192" s="3"/>
      <c r="BA192" s="3"/>
      <c r="BB192" s="3"/>
      <c r="BC192" s="3"/>
      <c r="BD192" s="3"/>
      <c r="BE192" s="3"/>
    </row>
    <row r="193" spans="1:57" x14ac:dyDescent="0.25">
      <c r="A193" s="3"/>
      <c r="B193" s="3"/>
      <c r="C193" s="3"/>
      <c r="E193" s="3"/>
      <c r="F193" s="3"/>
      <c r="G193" s="3"/>
      <c r="I193" s="3"/>
      <c r="J193" s="3"/>
      <c r="K193" s="3"/>
      <c r="M193" s="3"/>
      <c r="N193" s="3"/>
      <c r="O193" s="3"/>
      <c r="Q193" s="3"/>
      <c r="R193" s="3"/>
      <c r="S193" s="3"/>
      <c r="T193" s="3"/>
      <c r="U193" s="3"/>
      <c r="V193" s="2"/>
      <c r="W193" s="2"/>
      <c r="Y193" s="2"/>
      <c r="Z193" s="2"/>
      <c r="AA193" s="2"/>
      <c r="AC193" s="2" t="s">
        <v>140</v>
      </c>
      <c r="AD193" s="2">
        <v>1.8258000000000001</v>
      </c>
      <c r="AE193" s="2">
        <f t="shared" si="7"/>
        <v>4.9000000000001265</v>
      </c>
      <c r="AG193" s="2" t="s">
        <v>140</v>
      </c>
      <c r="AH193" s="2">
        <v>1.8277000000000001</v>
      </c>
      <c r="AI193" s="2">
        <f t="shared" si="8"/>
        <v>5.0000000000001155</v>
      </c>
      <c r="AJ193" s="3"/>
      <c r="AK193" s="2" t="s">
        <v>140</v>
      </c>
      <c r="AL193" s="2">
        <v>1.8254999999999999</v>
      </c>
      <c r="AM193" s="2">
        <f t="shared" si="9"/>
        <v>4.9999999999998934</v>
      </c>
      <c r="AO193" s="3"/>
      <c r="AP193" s="3"/>
      <c r="AQ193" s="3"/>
      <c r="AS193" s="3"/>
      <c r="AT193" s="3"/>
      <c r="AU193" s="3"/>
      <c r="AW193" s="3"/>
      <c r="AX193" s="3"/>
      <c r="AY193" s="3"/>
      <c r="BA193" s="3"/>
      <c r="BB193" s="3"/>
      <c r="BC193" s="3"/>
      <c r="BD193" s="3"/>
      <c r="BE193" s="3"/>
    </row>
    <row r="194" spans="1:57" x14ac:dyDescent="0.25">
      <c r="A194" s="3"/>
      <c r="B194" s="3"/>
      <c r="C194" s="3"/>
      <c r="E194" s="3"/>
      <c r="F194" s="3"/>
      <c r="G194" s="3"/>
      <c r="I194" s="3"/>
      <c r="J194" s="3"/>
      <c r="K194" s="3"/>
      <c r="M194" s="3"/>
      <c r="N194" s="3"/>
      <c r="O194" s="3"/>
      <c r="Q194" s="3"/>
      <c r="R194" s="3"/>
      <c r="S194" s="3"/>
      <c r="T194" s="3"/>
      <c r="U194" s="3"/>
      <c r="V194" s="2"/>
      <c r="W194" s="2"/>
      <c r="Y194" s="2"/>
      <c r="Z194" s="2"/>
      <c r="AA194" s="2"/>
      <c r="AC194" s="2" t="s">
        <v>141</v>
      </c>
      <c r="AD194" s="2">
        <v>1.8308</v>
      </c>
      <c r="AE194" s="2">
        <f t="shared" si="7"/>
        <v>4.9999999999998934</v>
      </c>
      <c r="AG194" s="2" t="s">
        <v>141</v>
      </c>
      <c r="AH194" s="2">
        <v>1.8327</v>
      </c>
      <c r="AI194" s="2">
        <f t="shared" si="8"/>
        <v>4.9999999999998934</v>
      </c>
      <c r="AJ194" s="3"/>
      <c r="AK194" s="2" t="s">
        <v>141</v>
      </c>
      <c r="AL194" s="2">
        <v>1.8305</v>
      </c>
      <c r="AM194" s="2">
        <f t="shared" si="9"/>
        <v>5.0000000000001155</v>
      </c>
      <c r="AO194" s="3"/>
      <c r="AP194" s="3"/>
      <c r="AQ194" s="3"/>
      <c r="AS194" s="3"/>
      <c r="AT194" s="3"/>
      <c r="AU194" s="3"/>
      <c r="AW194" s="3"/>
      <c r="AX194" s="3"/>
      <c r="AY194" s="3"/>
      <c r="BA194" s="3"/>
      <c r="BB194" s="3"/>
      <c r="BC194" s="3"/>
      <c r="BD194" s="3"/>
      <c r="BE194" s="3"/>
    </row>
    <row r="195" spans="1:57" x14ac:dyDescent="0.25">
      <c r="A195" s="3"/>
      <c r="B195" s="3"/>
      <c r="C195" s="3"/>
      <c r="E195" s="3"/>
      <c r="F195" s="3"/>
      <c r="G195" s="3"/>
      <c r="I195" s="3"/>
      <c r="J195" s="3"/>
      <c r="K195" s="3"/>
      <c r="M195" s="3"/>
      <c r="N195" s="3"/>
      <c r="O195" s="3"/>
      <c r="Q195" s="3"/>
      <c r="R195" s="3"/>
      <c r="S195" s="3"/>
      <c r="T195" s="3"/>
      <c r="U195" s="3"/>
      <c r="V195" s="2"/>
      <c r="W195" s="2"/>
      <c r="Y195" s="2"/>
      <c r="Z195" s="2"/>
      <c r="AA195" s="2"/>
      <c r="AC195" s="2" t="s">
        <v>142</v>
      </c>
      <c r="AD195" s="2">
        <v>1.8357000000000001</v>
      </c>
      <c r="AE195" s="2">
        <f t="shared" si="7"/>
        <v>4.9000000000001265</v>
      </c>
      <c r="AG195" s="2" t="s">
        <v>142</v>
      </c>
      <c r="AH195" s="2">
        <v>1.8378000000000001</v>
      </c>
      <c r="AI195" s="2">
        <f t="shared" si="8"/>
        <v>5.1000000000001044</v>
      </c>
      <c r="AJ195" s="3"/>
      <c r="AK195" s="2" t="s">
        <v>142</v>
      </c>
      <c r="AL195" s="2">
        <v>1.8353999999999999</v>
      </c>
      <c r="AM195" s="2">
        <f t="shared" si="9"/>
        <v>4.8999999999999044</v>
      </c>
      <c r="AO195" s="3"/>
      <c r="AP195" s="3"/>
      <c r="AQ195" s="3"/>
      <c r="AS195" s="3"/>
      <c r="AT195" s="3"/>
      <c r="AU195" s="3"/>
      <c r="AW195" s="3"/>
      <c r="AX195" s="3"/>
      <c r="AY195" s="3"/>
      <c r="BA195" s="3"/>
      <c r="BB195" s="3"/>
      <c r="BC195" s="3"/>
      <c r="BD195" s="3"/>
      <c r="BE195" s="3"/>
    </row>
    <row r="196" spans="1:57" x14ac:dyDescent="0.25">
      <c r="A196" s="3"/>
      <c r="B196" s="3"/>
      <c r="C196" s="3"/>
      <c r="E196" s="3"/>
      <c r="F196" s="3"/>
      <c r="G196" s="3"/>
      <c r="I196" s="3"/>
      <c r="J196" s="3"/>
      <c r="K196" s="3"/>
      <c r="M196" s="3"/>
      <c r="N196" s="3"/>
      <c r="O196" s="3"/>
      <c r="Q196" s="3"/>
      <c r="R196" s="3"/>
      <c r="S196" s="3"/>
      <c r="T196" s="3"/>
      <c r="U196" s="3"/>
      <c r="V196" s="2"/>
      <c r="W196" s="2"/>
      <c r="Y196" s="2"/>
      <c r="Z196" s="2"/>
      <c r="AA196" s="2"/>
      <c r="AC196" s="2" t="s">
        <v>143</v>
      </c>
      <c r="AD196" s="2">
        <v>1.8411</v>
      </c>
      <c r="AE196" s="2">
        <f t="shared" si="7"/>
        <v>5.3999999999998494</v>
      </c>
      <c r="AG196" s="2" t="s">
        <v>143</v>
      </c>
      <c r="AH196" s="2">
        <v>1.8431</v>
      </c>
      <c r="AI196" s="2">
        <f t="shared" si="8"/>
        <v>5.2999999999998604</v>
      </c>
      <c r="AJ196" s="3"/>
      <c r="AK196" s="2" t="s">
        <v>143</v>
      </c>
      <c r="AL196" s="2">
        <v>1.8405</v>
      </c>
      <c r="AM196" s="2">
        <f t="shared" si="9"/>
        <v>5.1000000000001044</v>
      </c>
      <c r="AO196" s="3"/>
      <c r="AP196" s="3"/>
      <c r="AQ196" s="3"/>
      <c r="AS196" s="3"/>
      <c r="AT196" s="3"/>
      <c r="AU196" s="3"/>
      <c r="AW196" s="3"/>
      <c r="AX196" s="3"/>
      <c r="AY196" s="3"/>
      <c r="BA196" s="3"/>
      <c r="BB196" s="3"/>
      <c r="BC196" s="3"/>
      <c r="BD196" s="3"/>
      <c r="BE196" s="3"/>
    </row>
    <row r="197" spans="1:57" x14ac:dyDescent="0.25">
      <c r="A197" s="3"/>
      <c r="B197" s="3"/>
      <c r="C197" s="3"/>
      <c r="E197" s="3"/>
      <c r="F197" s="3"/>
      <c r="G197" s="3"/>
      <c r="I197" s="3"/>
      <c r="J197" s="3"/>
      <c r="K197" s="3"/>
      <c r="M197" s="3"/>
      <c r="N197" s="3"/>
      <c r="O197" s="3"/>
      <c r="Q197" s="3"/>
      <c r="R197" s="3"/>
      <c r="S197" s="3"/>
      <c r="T197" s="3"/>
      <c r="U197" s="3"/>
      <c r="V197" s="2"/>
      <c r="W197" s="2"/>
      <c r="Y197" s="2"/>
      <c r="Z197" s="2"/>
      <c r="AA197" s="2"/>
      <c r="AC197" s="2" t="s">
        <v>144</v>
      </c>
      <c r="AD197" s="2">
        <v>1.8460000000000001</v>
      </c>
      <c r="AE197" s="2">
        <f t="shared" si="7"/>
        <v>4.9000000000001265</v>
      </c>
      <c r="AG197" s="2" t="s">
        <v>144</v>
      </c>
      <c r="AH197" s="2">
        <v>1.8482000000000001</v>
      </c>
      <c r="AI197" s="2">
        <f t="shared" si="8"/>
        <v>5.1000000000001044</v>
      </c>
      <c r="AJ197" s="3"/>
      <c r="AK197" s="2" t="s">
        <v>144</v>
      </c>
      <c r="AL197" s="2">
        <v>1.8452999999999999</v>
      </c>
      <c r="AM197" s="2">
        <f t="shared" si="9"/>
        <v>4.7999999999999154</v>
      </c>
      <c r="AO197" s="3"/>
      <c r="AP197" s="3"/>
      <c r="AQ197" s="3"/>
      <c r="AS197" s="3"/>
      <c r="AT197" s="3"/>
      <c r="AU197" s="3"/>
      <c r="AW197" s="3"/>
      <c r="AX197" s="3"/>
      <c r="AY197" s="3"/>
      <c r="BA197" s="3"/>
      <c r="BB197" s="3"/>
      <c r="BC197" s="3"/>
      <c r="BD197" s="3"/>
      <c r="BE197" s="3"/>
    </row>
    <row r="198" spans="1:57" x14ac:dyDescent="0.25">
      <c r="A198" s="3"/>
      <c r="B198" s="3"/>
      <c r="C198" s="3"/>
      <c r="E198" s="3"/>
      <c r="F198" s="3"/>
      <c r="G198" s="3"/>
      <c r="I198" s="3"/>
      <c r="J198" s="3"/>
      <c r="K198" s="3"/>
      <c r="M198" s="3"/>
      <c r="N198" s="3"/>
      <c r="O198" s="3"/>
      <c r="Q198" s="3"/>
      <c r="R198" s="3"/>
      <c r="S198" s="3"/>
      <c r="T198" s="3"/>
      <c r="U198" s="3"/>
      <c r="V198" s="2"/>
      <c r="W198" s="2"/>
      <c r="Y198" s="2"/>
      <c r="Z198" s="2"/>
      <c r="AA198" s="2"/>
      <c r="AC198" s="2" t="s">
        <v>145</v>
      </c>
      <c r="AD198" s="2">
        <v>1.8511</v>
      </c>
      <c r="AE198" s="2">
        <f t="shared" si="7"/>
        <v>5.0999999999998824</v>
      </c>
      <c r="AG198" s="2" t="s">
        <v>145</v>
      </c>
      <c r="AH198" s="2">
        <v>1.8532999999999999</v>
      </c>
      <c r="AI198" s="2">
        <f t="shared" si="8"/>
        <v>5.0999999999998824</v>
      </c>
      <c r="AJ198" s="3"/>
      <c r="AK198" s="2" t="s">
        <v>145</v>
      </c>
      <c r="AL198" s="2">
        <v>1.8503000000000001</v>
      </c>
      <c r="AM198" s="2">
        <f t="shared" si="9"/>
        <v>5.0000000000001155</v>
      </c>
      <c r="AO198" s="3"/>
      <c r="AP198" s="3"/>
      <c r="AQ198" s="3"/>
      <c r="AS198" s="3"/>
      <c r="AT198" s="3"/>
      <c r="AU198" s="3"/>
      <c r="AW198" s="3"/>
      <c r="AX198" s="3"/>
      <c r="AY198" s="3"/>
      <c r="BA198" s="3"/>
      <c r="BB198" s="3"/>
      <c r="BC198" s="3"/>
      <c r="BD198" s="3"/>
      <c r="BE198" s="3"/>
    </row>
    <row r="199" spans="1:57" x14ac:dyDescent="0.25">
      <c r="A199" s="3"/>
      <c r="B199" s="3"/>
      <c r="C199" s="3"/>
      <c r="E199" s="3"/>
      <c r="F199" s="3"/>
      <c r="G199" s="3"/>
      <c r="I199" s="3"/>
      <c r="J199" s="3"/>
      <c r="K199" s="3"/>
      <c r="M199" s="3"/>
      <c r="N199" s="3"/>
      <c r="O199" s="3"/>
      <c r="Q199" s="3"/>
      <c r="R199" s="3"/>
      <c r="S199" s="3"/>
      <c r="T199" s="3"/>
      <c r="U199" s="3"/>
      <c r="V199" s="2"/>
      <c r="W199" s="2"/>
      <c r="Y199" s="2"/>
      <c r="Z199" s="2"/>
      <c r="AA199" s="2"/>
      <c r="AC199" s="2" t="s">
        <v>146</v>
      </c>
      <c r="AD199" s="2">
        <v>1.8561000000000001</v>
      </c>
      <c r="AE199" s="2">
        <f t="shared" si="7"/>
        <v>5.0000000000001155</v>
      </c>
      <c r="AG199" s="2" t="s">
        <v>146</v>
      </c>
      <c r="AH199" s="2">
        <v>1.8583000000000001</v>
      </c>
      <c r="AI199" s="2">
        <f t="shared" si="8"/>
        <v>5.0000000000001155</v>
      </c>
      <c r="AJ199" s="3"/>
      <c r="AK199" s="2" t="s">
        <v>146</v>
      </c>
      <c r="AL199" s="2">
        <v>1.8552999999999999</v>
      </c>
      <c r="AM199" s="2">
        <f t="shared" si="9"/>
        <v>4.9999999999998934</v>
      </c>
      <c r="AO199" s="3"/>
      <c r="AP199" s="3"/>
      <c r="AQ199" s="3"/>
      <c r="AS199" s="3"/>
      <c r="AT199" s="3"/>
      <c r="AU199" s="3"/>
      <c r="AW199" s="3"/>
      <c r="AX199" s="3"/>
      <c r="AY199" s="3"/>
      <c r="BA199" s="3"/>
      <c r="BB199" s="3"/>
      <c r="BC199" s="3"/>
      <c r="BD199" s="3"/>
      <c r="BE199" s="3"/>
    </row>
    <row r="200" spans="1:57" x14ac:dyDescent="0.25">
      <c r="A200" s="3"/>
      <c r="B200" s="3"/>
      <c r="C200" s="3"/>
      <c r="E200" s="3"/>
      <c r="F200" s="3"/>
      <c r="G200" s="3"/>
      <c r="I200" s="3"/>
      <c r="J200" s="3"/>
      <c r="K200" s="3"/>
      <c r="M200" s="3"/>
      <c r="N200" s="3"/>
      <c r="O200" s="3"/>
      <c r="Q200" s="3"/>
      <c r="R200" s="3"/>
      <c r="S200" s="3"/>
      <c r="T200" s="3"/>
      <c r="U200" s="3"/>
      <c r="V200" s="2"/>
      <c r="W200" s="2"/>
      <c r="Y200" s="2"/>
      <c r="Z200" s="2"/>
      <c r="AA200" s="2"/>
      <c r="AC200" s="2" t="s">
        <v>147</v>
      </c>
      <c r="AD200" s="2">
        <v>1.8601000000000001</v>
      </c>
      <c r="AE200" s="2">
        <f t="shared" si="7"/>
        <v>4.0000000000000036</v>
      </c>
      <c r="AG200" s="2" t="s">
        <v>147</v>
      </c>
      <c r="AH200" s="2">
        <v>1.8643000000000001</v>
      </c>
      <c r="AI200" s="2">
        <f t="shared" si="8"/>
        <v>6.0000000000000053</v>
      </c>
      <c r="AJ200" s="3"/>
      <c r="AK200" s="2" t="s">
        <v>147</v>
      </c>
      <c r="AL200" s="2">
        <v>1.8601000000000001</v>
      </c>
      <c r="AM200" s="2">
        <f t="shared" si="9"/>
        <v>4.8000000000001375</v>
      </c>
      <c r="AO200" s="3"/>
      <c r="AP200" s="3"/>
      <c r="AQ200" s="3"/>
      <c r="AS200" s="3"/>
      <c r="AT200" s="3"/>
      <c r="AU200" s="3"/>
      <c r="AW200" s="3"/>
      <c r="AX200" s="3"/>
      <c r="AY200" s="3"/>
      <c r="BA200" s="3"/>
      <c r="BB200" s="3"/>
      <c r="BC200" s="3"/>
      <c r="BD200" s="3"/>
      <c r="BE200" s="3"/>
    </row>
    <row r="201" spans="1:57" x14ac:dyDescent="0.25">
      <c r="A201" s="3"/>
      <c r="B201" s="3"/>
      <c r="C201" s="3"/>
      <c r="E201" s="3"/>
      <c r="F201" s="3"/>
      <c r="G201" s="3"/>
      <c r="I201" s="3"/>
      <c r="J201" s="3"/>
      <c r="K201" s="3"/>
      <c r="M201" s="3"/>
      <c r="N201" s="3"/>
      <c r="O201" s="3"/>
      <c r="Q201" s="3"/>
      <c r="R201" s="3"/>
      <c r="S201" s="3"/>
      <c r="T201" s="3"/>
      <c r="U201" s="3"/>
      <c r="V201" s="2"/>
      <c r="W201" s="2"/>
      <c r="Y201" s="2"/>
      <c r="Z201" s="2"/>
      <c r="AA201" s="2"/>
      <c r="AC201" s="2" t="s">
        <v>148</v>
      </c>
      <c r="AD201" s="2">
        <v>1.865</v>
      </c>
      <c r="AE201" s="2">
        <f t="shared" si="7"/>
        <v>4.8999999999999044</v>
      </c>
      <c r="AG201" s="2" t="s">
        <v>148</v>
      </c>
      <c r="AH201" s="2">
        <v>1.8692</v>
      </c>
      <c r="AI201" s="2">
        <f t="shared" si="8"/>
        <v>4.8999999999999044</v>
      </c>
      <c r="AJ201" s="3"/>
      <c r="AK201" s="2" t="s">
        <v>148</v>
      </c>
      <c r="AL201" s="2">
        <v>1.865</v>
      </c>
      <c r="AM201" s="2">
        <f t="shared" si="9"/>
        <v>4.8999999999999044</v>
      </c>
      <c r="AO201" s="3"/>
      <c r="AP201" s="3"/>
      <c r="AQ201" s="3"/>
      <c r="AS201" s="3"/>
      <c r="AT201" s="3"/>
      <c r="AU201" s="3"/>
      <c r="AW201" s="3"/>
      <c r="AX201" s="3"/>
      <c r="AY201" s="3"/>
      <c r="BA201" s="3"/>
      <c r="BB201" s="3"/>
      <c r="BC201" s="3"/>
      <c r="BD201" s="3"/>
      <c r="BE201" s="3"/>
    </row>
    <row r="202" spans="1:57" x14ac:dyDescent="0.25">
      <c r="A202" s="3"/>
      <c r="B202" s="3"/>
      <c r="C202" s="3"/>
      <c r="E202" s="3"/>
      <c r="F202" s="3"/>
      <c r="G202" s="3"/>
      <c r="I202" s="3"/>
      <c r="J202" s="3"/>
      <c r="K202" s="3"/>
      <c r="M202" s="3"/>
      <c r="N202" s="3"/>
      <c r="O202" s="3"/>
      <c r="Q202" s="3"/>
      <c r="R202" s="3"/>
      <c r="S202" s="3"/>
      <c r="T202" s="3"/>
      <c r="U202" s="3"/>
      <c r="V202" s="2"/>
      <c r="W202" s="2"/>
      <c r="Y202" s="2"/>
      <c r="Z202" s="2"/>
      <c r="AA202" s="2"/>
      <c r="AC202" s="2" t="s">
        <v>149</v>
      </c>
      <c r="AD202" s="2">
        <v>1.87</v>
      </c>
      <c r="AE202" s="2">
        <f t="shared" si="7"/>
        <v>5.0000000000001155</v>
      </c>
      <c r="AG202" s="2" t="s">
        <v>149</v>
      </c>
      <c r="AH202" s="2">
        <v>1.8742000000000001</v>
      </c>
      <c r="AI202" s="2">
        <f t="shared" si="8"/>
        <v>5.0000000000001155</v>
      </c>
      <c r="AJ202" s="3"/>
      <c r="AK202" s="2" t="s">
        <v>149</v>
      </c>
      <c r="AL202" s="2">
        <v>1.87</v>
      </c>
      <c r="AM202" s="2">
        <f t="shared" si="9"/>
        <v>5.0000000000001155</v>
      </c>
      <c r="AO202" s="3"/>
      <c r="AP202" s="3"/>
      <c r="AQ202" s="3"/>
      <c r="AS202" s="3"/>
      <c r="AT202" s="3"/>
      <c r="AU202" s="3"/>
      <c r="AW202" s="3"/>
      <c r="AX202" s="3"/>
      <c r="AY202" s="3"/>
      <c r="BA202" s="3"/>
      <c r="BB202" s="3"/>
      <c r="BC202" s="3"/>
      <c r="BD202" s="3"/>
      <c r="BE202" s="3"/>
    </row>
    <row r="203" spans="1:57" x14ac:dyDescent="0.25">
      <c r="A203" s="3"/>
      <c r="B203" s="3"/>
      <c r="C203" s="3"/>
      <c r="E203" s="3"/>
      <c r="F203" s="3"/>
      <c r="G203" s="3"/>
      <c r="I203" s="3"/>
      <c r="J203" s="3"/>
      <c r="K203" s="3"/>
      <c r="M203" s="3"/>
      <c r="N203" s="3"/>
      <c r="O203" s="3"/>
      <c r="Q203" s="3"/>
      <c r="R203" s="3"/>
      <c r="S203" s="3"/>
      <c r="T203" s="3"/>
      <c r="U203" s="3"/>
      <c r="V203" s="2"/>
      <c r="W203" s="2"/>
      <c r="Y203" s="2"/>
      <c r="Z203" s="2"/>
      <c r="AA203" s="2"/>
      <c r="AC203" s="2" t="s">
        <v>150</v>
      </c>
      <c r="AD203" s="2">
        <v>1.8749</v>
      </c>
      <c r="AE203" s="2">
        <f t="shared" si="7"/>
        <v>4.8999999999999044</v>
      </c>
      <c r="AG203" s="2" t="s">
        <v>150</v>
      </c>
      <c r="AH203" s="2">
        <v>1.8792</v>
      </c>
      <c r="AI203" s="2">
        <f t="shared" si="8"/>
        <v>4.9999999999998934</v>
      </c>
      <c r="AJ203" s="3"/>
      <c r="AK203" s="2" t="s">
        <v>150</v>
      </c>
      <c r="AL203" s="2">
        <v>1.8749</v>
      </c>
      <c r="AM203" s="2">
        <f t="shared" si="9"/>
        <v>4.8999999999999044</v>
      </c>
      <c r="AO203" s="3"/>
      <c r="AP203" s="3"/>
      <c r="AQ203" s="3"/>
      <c r="AS203" s="3"/>
      <c r="AT203" s="3"/>
      <c r="AU203" s="3"/>
      <c r="AW203" s="3"/>
      <c r="AX203" s="3"/>
      <c r="AY203" s="3"/>
      <c r="BA203" s="3"/>
      <c r="BB203" s="3"/>
      <c r="BC203" s="3"/>
      <c r="BD203" s="3"/>
      <c r="BE203" s="3"/>
    </row>
    <row r="204" spans="1:57" x14ac:dyDescent="0.25">
      <c r="A204" s="3"/>
      <c r="B204" s="3"/>
      <c r="C204" s="3"/>
      <c r="E204" s="3"/>
      <c r="F204" s="3"/>
      <c r="G204" s="3"/>
      <c r="I204" s="3"/>
      <c r="J204" s="3"/>
      <c r="K204" s="3"/>
      <c r="M204" s="3"/>
      <c r="N204" s="3"/>
      <c r="O204" s="3"/>
      <c r="Q204" s="3"/>
      <c r="R204" s="3"/>
      <c r="S204" s="3"/>
      <c r="T204" s="3"/>
      <c r="U204" s="3"/>
      <c r="V204" s="2"/>
      <c r="W204" s="2"/>
      <c r="Y204" s="2"/>
      <c r="Z204" s="2"/>
      <c r="AA204" s="2"/>
      <c r="AC204" s="2" t="s">
        <v>151</v>
      </c>
      <c r="AD204" s="2">
        <v>1.8802000000000001</v>
      </c>
      <c r="AE204" s="2">
        <f t="shared" si="7"/>
        <v>5.3000000000000824</v>
      </c>
      <c r="AG204" s="2" t="s">
        <v>151</v>
      </c>
      <c r="AH204" s="2">
        <v>1.8845000000000001</v>
      </c>
      <c r="AI204" s="2">
        <f t="shared" si="8"/>
        <v>5.3000000000000824</v>
      </c>
      <c r="AJ204" s="3"/>
      <c r="AK204" s="2" t="s">
        <v>151</v>
      </c>
      <c r="AL204" s="2">
        <v>1.88</v>
      </c>
      <c r="AM204" s="2">
        <f t="shared" si="9"/>
        <v>5.0999999999998824</v>
      </c>
      <c r="AO204" s="3"/>
      <c r="AP204" s="3"/>
      <c r="AQ204" s="3"/>
      <c r="AS204" s="3"/>
      <c r="AT204" s="3"/>
      <c r="AU204" s="3"/>
      <c r="AW204" s="3"/>
      <c r="AX204" s="3"/>
      <c r="AY204" s="3"/>
      <c r="BA204" s="3"/>
      <c r="BB204" s="3"/>
      <c r="BC204" s="3"/>
      <c r="BD204" s="3"/>
      <c r="BE204" s="3"/>
    </row>
    <row r="205" spans="1:57" x14ac:dyDescent="0.25">
      <c r="A205" s="3"/>
      <c r="B205" s="3"/>
      <c r="C205" s="3"/>
      <c r="E205" s="3"/>
      <c r="F205" s="3"/>
      <c r="G205" s="3"/>
      <c r="I205" s="3"/>
      <c r="J205" s="3"/>
      <c r="K205" s="3"/>
      <c r="M205" s="3"/>
      <c r="N205" s="3"/>
      <c r="O205" s="3"/>
      <c r="Q205" s="3"/>
      <c r="R205" s="3"/>
      <c r="S205" s="3"/>
      <c r="T205" s="3"/>
      <c r="U205" s="3"/>
      <c r="V205" s="2"/>
      <c r="W205" s="2"/>
      <c r="Y205" s="2"/>
      <c r="Z205" s="2"/>
      <c r="AA205" s="2"/>
      <c r="AC205" s="2" t="s">
        <v>152</v>
      </c>
      <c r="AD205" s="2">
        <v>1.8851</v>
      </c>
      <c r="AE205" s="2">
        <f t="shared" si="7"/>
        <v>4.8999999999999044</v>
      </c>
      <c r="AG205" s="2" t="s">
        <v>152</v>
      </c>
      <c r="AH205" s="2">
        <v>1.8895999999999999</v>
      </c>
      <c r="AI205" s="2">
        <f t="shared" si="8"/>
        <v>5.0999999999998824</v>
      </c>
      <c r="AJ205" s="3"/>
      <c r="AK205" s="2" t="s">
        <v>152</v>
      </c>
      <c r="AL205" s="2">
        <v>1.8849</v>
      </c>
      <c r="AM205" s="2">
        <f t="shared" si="9"/>
        <v>4.9000000000001265</v>
      </c>
      <c r="AO205" s="3"/>
      <c r="AP205" s="3"/>
      <c r="AQ205" s="3"/>
      <c r="AS205" s="3"/>
      <c r="AT205" s="3"/>
      <c r="AU205" s="3"/>
      <c r="AW205" s="3"/>
      <c r="AX205" s="3"/>
      <c r="AY205" s="3"/>
      <c r="BA205" s="3"/>
      <c r="BB205" s="3"/>
      <c r="BC205" s="3"/>
      <c r="BD205" s="3"/>
      <c r="BE205" s="3"/>
    </row>
    <row r="206" spans="1:57" x14ac:dyDescent="0.25">
      <c r="A206" s="3"/>
      <c r="B206" s="3"/>
      <c r="C206" s="3"/>
      <c r="E206" s="3"/>
      <c r="F206" s="3"/>
      <c r="G206" s="3"/>
      <c r="I206" s="3"/>
      <c r="J206" s="3"/>
      <c r="K206" s="3"/>
      <c r="M206" s="3"/>
      <c r="N206" s="3"/>
      <c r="O206" s="3"/>
      <c r="Q206" s="3"/>
      <c r="R206" s="3"/>
      <c r="S206" s="3"/>
      <c r="T206" s="3"/>
      <c r="U206" s="3"/>
      <c r="V206" s="2"/>
      <c r="W206" s="2"/>
      <c r="Y206" s="2"/>
      <c r="Z206" s="2"/>
      <c r="AA206" s="2"/>
      <c r="AC206" s="2" t="s">
        <v>153</v>
      </c>
      <c r="AD206" s="2">
        <v>1.8902000000000001</v>
      </c>
      <c r="AE206" s="2">
        <f t="shared" si="7"/>
        <v>5.1000000000001044</v>
      </c>
      <c r="AG206" s="2" t="s">
        <v>153</v>
      </c>
      <c r="AH206" s="2">
        <v>1.8945000000000001</v>
      </c>
      <c r="AI206" s="2">
        <f t="shared" si="8"/>
        <v>4.9000000000001265</v>
      </c>
      <c r="AJ206" s="3"/>
      <c r="AK206" s="2" t="s">
        <v>153</v>
      </c>
      <c r="AL206" s="2">
        <v>1.8898999999999999</v>
      </c>
      <c r="AM206" s="2">
        <f t="shared" si="9"/>
        <v>4.9999999999998934</v>
      </c>
      <c r="AO206" s="3"/>
      <c r="AP206" s="3"/>
      <c r="AQ206" s="3"/>
      <c r="AS206" s="3"/>
      <c r="AT206" s="3"/>
      <c r="AU206" s="3"/>
      <c r="AW206" s="3"/>
      <c r="AX206" s="3"/>
      <c r="AY206" s="3"/>
      <c r="BA206" s="3"/>
      <c r="BB206" s="3"/>
      <c r="BC206" s="3"/>
      <c r="BD206" s="3"/>
      <c r="BE206" s="3"/>
    </row>
    <row r="207" spans="1:57" x14ac:dyDescent="0.25">
      <c r="A207" s="3"/>
      <c r="B207" s="3"/>
      <c r="C207" s="3"/>
      <c r="E207" s="3"/>
      <c r="F207" s="3"/>
      <c r="G207" s="3"/>
      <c r="I207" s="3"/>
      <c r="J207" s="3"/>
      <c r="K207" s="3"/>
      <c r="M207" s="3"/>
      <c r="N207" s="3"/>
      <c r="O207" s="3"/>
      <c r="Q207" s="3"/>
      <c r="R207" s="3"/>
      <c r="S207" s="3"/>
      <c r="T207" s="3"/>
      <c r="U207" s="3"/>
      <c r="V207" s="2"/>
      <c r="W207" s="2"/>
      <c r="Y207" s="2"/>
      <c r="Z207" s="2"/>
      <c r="AA207" s="2"/>
      <c r="AC207" s="2" t="s">
        <v>154</v>
      </c>
      <c r="AD207" s="2">
        <v>1.8951</v>
      </c>
      <c r="AE207" s="2">
        <f t="shared" si="7"/>
        <v>4.8999999999999044</v>
      </c>
      <c r="AG207" s="2" t="s">
        <v>154</v>
      </c>
      <c r="AH207" s="2">
        <v>1.8944000000000001</v>
      </c>
      <c r="AI207" s="2">
        <f t="shared" si="8"/>
        <v>-9.9999999999988987E-2</v>
      </c>
      <c r="AJ207" s="3"/>
      <c r="AK207" s="2" t="s">
        <v>154</v>
      </c>
      <c r="AL207" s="2">
        <v>1.8948</v>
      </c>
      <c r="AM207" s="2">
        <f t="shared" si="9"/>
        <v>4.9000000000001265</v>
      </c>
      <c r="AO207" s="3"/>
      <c r="AP207" s="3"/>
      <c r="AQ207" s="3"/>
      <c r="AS207" s="3"/>
      <c r="AT207" s="3"/>
      <c r="AU207" s="3"/>
      <c r="AW207" s="3"/>
      <c r="AX207" s="3"/>
      <c r="AY207" s="3"/>
      <c r="BA207" s="3"/>
      <c r="BB207" s="3"/>
      <c r="BC207" s="3"/>
      <c r="BD207" s="3"/>
      <c r="BE207" s="3"/>
    </row>
    <row r="208" spans="1:57" x14ac:dyDescent="0.25">
      <c r="A208" s="3"/>
      <c r="B208" s="3"/>
      <c r="C208" s="3"/>
      <c r="E208" s="3"/>
      <c r="F208" s="3"/>
      <c r="G208" s="3"/>
      <c r="I208" s="3"/>
      <c r="J208" s="3"/>
      <c r="K208" s="3"/>
      <c r="M208" s="3"/>
      <c r="N208" s="3"/>
      <c r="O208" s="3"/>
      <c r="Q208" s="3"/>
      <c r="R208" s="3"/>
      <c r="S208" s="3"/>
      <c r="T208" s="3"/>
      <c r="U208" s="3"/>
      <c r="V208" s="2"/>
      <c r="W208" s="2"/>
      <c r="Y208" s="2"/>
      <c r="Z208" s="2"/>
      <c r="AA208" s="2"/>
      <c r="AC208" s="2" t="s">
        <v>155</v>
      </c>
      <c r="AD208" s="2">
        <v>1.9</v>
      </c>
      <c r="AE208" s="2">
        <f t="shared" si="7"/>
        <v>4.8999999999999044</v>
      </c>
      <c r="AG208" s="2" t="s">
        <v>155</v>
      </c>
      <c r="AH208" s="2">
        <v>1.9045000000000001</v>
      </c>
      <c r="AI208" s="2">
        <f t="shared" si="8"/>
        <v>10.099999999999998</v>
      </c>
      <c r="AJ208" s="3"/>
      <c r="AK208" s="2" t="s">
        <v>155</v>
      </c>
      <c r="AL208" s="2">
        <v>1.8996999999999999</v>
      </c>
      <c r="AM208" s="2">
        <f t="shared" si="9"/>
        <v>4.8999999999999044</v>
      </c>
      <c r="AO208" s="3"/>
      <c r="AP208" s="3"/>
      <c r="AQ208" s="3"/>
      <c r="AS208" s="3"/>
      <c r="AT208" s="3"/>
      <c r="AU208" s="3"/>
      <c r="AW208" s="3"/>
      <c r="AX208" s="3"/>
      <c r="AY208" s="3"/>
      <c r="BA208" s="3"/>
      <c r="BB208" s="3"/>
      <c r="BC208" s="3"/>
      <c r="BD208" s="3"/>
      <c r="BE208" s="3"/>
    </row>
    <row r="209" spans="1:57" x14ac:dyDescent="0.25">
      <c r="A209" s="3"/>
      <c r="B209" s="3"/>
      <c r="C209" s="3"/>
      <c r="E209" s="3"/>
      <c r="F209" s="3"/>
      <c r="G209" s="3"/>
      <c r="I209" s="3"/>
      <c r="J209" s="3"/>
      <c r="K209" s="3"/>
      <c r="M209" s="3"/>
      <c r="N209" s="3"/>
      <c r="O209" s="3"/>
      <c r="Q209" s="3"/>
      <c r="R209" s="3"/>
      <c r="S209" s="3"/>
      <c r="T209" s="3"/>
      <c r="U209" s="3"/>
      <c r="V209" s="2"/>
      <c r="W209" s="2"/>
      <c r="Y209" s="2"/>
      <c r="Z209" s="2"/>
      <c r="AA209" s="2"/>
      <c r="AC209" s="2" t="s">
        <v>156</v>
      </c>
      <c r="AD209" s="2">
        <v>1.9049</v>
      </c>
      <c r="AE209" s="2">
        <f t="shared" si="7"/>
        <v>4.9000000000001265</v>
      </c>
      <c r="AG209" s="2" t="s">
        <v>156</v>
      </c>
      <c r="AH209" s="2">
        <v>1.9096</v>
      </c>
      <c r="AI209" s="2">
        <f t="shared" si="8"/>
        <v>5.0999999999998824</v>
      </c>
      <c r="AJ209" s="3"/>
      <c r="AK209" s="2" t="s">
        <v>156</v>
      </c>
      <c r="AL209" s="2">
        <v>1.9047000000000001</v>
      </c>
      <c r="AM209" s="2">
        <f t="shared" si="9"/>
        <v>5.0000000000001155</v>
      </c>
      <c r="AO209" s="3"/>
      <c r="AP209" s="3"/>
      <c r="AQ209" s="3"/>
      <c r="AS209" s="3"/>
      <c r="AT209" s="3"/>
      <c r="AU209" s="3"/>
      <c r="AW209" s="3"/>
      <c r="AX209" s="3"/>
      <c r="AY209" s="3"/>
      <c r="BA209" s="3"/>
      <c r="BB209" s="3"/>
      <c r="BC209" s="3"/>
      <c r="BD209" s="3"/>
      <c r="BE209" s="3"/>
    </row>
    <row r="210" spans="1:57" x14ac:dyDescent="0.25">
      <c r="A210" s="3"/>
      <c r="B210" s="3"/>
      <c r="C210" s="3"/>
      <c r="E210" s="3"/>
      <c r="F210" s="3"/>
      <c r="G210" s="3"/>
      <c r="I210" s="3"/>
      <c r="J210" s="3"/>
      <c r="K210" s="3"/>
      <c r="M210" s="3"/>
      <c r="N210" s="3"/>
      <c r="O210" s="3"/>
      <c r="Q210" s="3"/>
      <c r="R210" s="3"/>
      <c r="S210" s="3"/>
      <c r="T210" s="3"/>
      <c r="U210" s="3"/>
      <c r="V210" s="2"/>
      <c r="W210" s="2"/>
      <c r="Y210" s="2"/>
      <c r="Z210" s="2"/>
      <c r="AA210" s="2"/>
      <c r="AC210" s="2" t="s">
        <v>157</v>
      </c>
      <c r="AD210" s="2">
        <v>1.9097999999999999</v>
      </c>
      <c r="AE210" s="2">
        <f t="shared" si="7"/>
        <v>4.8999999999999044</v>
      </c>
      <c r="AG210" s="2" t="s">
        <v>157</v>
      </c>
      <c r="AH210" s="2">
        <v>1.9147000000000001</v>
      </c>
      <c r="AI210" s="2">
        <f t="shared" si="8"/>
        <v>5.1000000000001044</v>
      </c>
      <c r="AJ210" s="3"/>
      <c r="AK210" s="2" t="s">
        <v>157</v>
      </c>
      <c r="AL210" s="2">
        <v>1.9096</v>
      </c>
      <c r="AM210" s="2">
        <f t="shared" si="9"/>
        <v>4.8999999999999044</v>
      </c>
      <c r="AO210" s="3"/>
      <c r="AP210" s="3"/>
      <c r="AQ210" s="3"/>
      <c r="AS210" s="3"/>
      <c r="AT210" s="3"/>
      <c r="AU210" s="3"/>
      <c r="AW210" s="3"/>
      <c r="AX210" s="3"/>
      <c r="AY210" s="3"/>
      <c r="BA210" s="3"/>
      <c r="BB210" s="3"/>
      <c r="BC210" s="3"/>
      <c r="BD210" s="3"/>
      <c r="BE210" s="3"/>
    </row>
    <row r="211" spans="1:57" x14ac:dyDescent="0.25">
      <c r="A211" s="3"/>
      <c r="B211" s="3"/>
      <c r="C211" s="3"/>
      <c r="E211" s="3"/>
      <c r="F211" s="3"/>
      <c r="G211" s="3"/>
      <c r="I211" s="3"/>
      <c r="J211" s="3"/>
      <c r="K211" s="3"/>
      <c r="M211" s="3"/>
      <c r="N211" s="3"/>
      <c r="O211" s="3"/>
      <c r="Q211" s="3"/>
      <c r="R211" s="3"/>
      <c r="S211" s="3"/>
      <c r="T211" s="3"/>
      <c r="U211" s="3"/>
      <c r="V211" s="2"/>
      <c r="W211" s="2"/>
      <c r="Y211" s="2"/>
      <c r="Z211" s="2"/>
      <c r="AA211" s="2"/>
      <c r="AC211" s="2" t="s">
        <v>158</v>
      </c>
      <c r="AD211" s="2">
        <v>1.9148000000000001</v>
      </c>
      <c r="AE211" s="2">
        <f t="shared" si="7"/>
        <v>5.0000000000001155</v>
      </c>
      <c r="AG211" s="2" t="s">
        <v>158</v>
      </c>
      <c r="AH211" s="2">
        <v>1.9197</v>
      </c>
      <c r="AI211" s="2">
        <f t="shared" si="8"/>
        <v>4.9999999999998934</v>
      </c>
      <c r="AJ211" s="3"/>
      <c r="AK211" s="2" t="s">
        <v>158</v>
      </c>
      <c r="AL211" s="2">
        <v>1.9146000000000001</v>
      </c>
      <c r="AM211" s="2">
        <f t="shared" si="9"/>
        <v>5.0000000000001155</v>
      </c>
      <c r="AO211" s="3"/>
      <c r="AP211" s="3"/>
      <c r="AQ211" s="3"/>
      <c r="AS211" s="3"/>
      <c r="AT211" s="3"/>
      <c r="AU211" s="3"/>
      <c r="AW211" s="3"/>
      <c r="AX211" s="3"/>
      <c r="AY211" s="3"/>
      <c r="BA211" s="3"/>
      <c r="BB211" s="3"/>
      <c r="BC211" s="3"/>
      <c r="BD211" s="3"/>
      <c r="BE211" s="3"/>
    </row>
    <row r="212" spans="1:57" x14ac:dyDescent="0.25">
      <c r="A212" s="3"/>
      <c r="B212" s="3"/>
      <c r="C212" s="3"/>
      <c r="E212" s="3"/>
      <c r="F212" s="3"/>
      <c r="G212" s="3"/>
      <c r="I212" s="3"/>
      <c r="J212" s="3"/>
      <c r="K212" s="3"/>
      <c r="M212" s="3"/>
      <c r="N212" s="3"/>
      <c r="O212" s="3"/>
      <c r="Q212" s="3"/>
      <c r="R212" s="3"/>
      <c r="S212" s="3"/>
      <c r="T212" s="3"/>
      <c r="U212" s="3"/>
      <c r="V212" s="2"/>
      <c r="W212" s="2"/>
      <c r="Y212" s="2"/>
      <c r="Z212" s="2"/>
      <c r="AA212" s="2"/>
      <c r="AC212" s="2" t="s">
        <v>159</v>
      </c>
      <c r="AD212" s="2">
        <v>1.9200999999999999</v>
      </c>
      <c r="AE212" s="2">
        <f t="shared" si="7"/>
        <v>5.2999999999998604</v>
      </c>
      <c r="AG212" s="2" t="s">
        <v>159</v>
      </c>
      <c r="AH212" s="2">
        <v>1.925</v>
      </c>
      <c r="AI212" s="2">
        <f t="shared" si="8"/>
        <v>5.3000000000000824</v>
      </c>
      <c r="AJ212" s="3"/>
      <c r="AK212" s="2" t="s">
        <v>159</v>
      </c>
      <c r="AL212" s="2">
        <v>1.9196</v>
      </c>
      <c r="AM212" s="2">
        <f t="shared" si="9"/>
        <v>4.9999999999998934</v>
      </c>
      <c r="AO212" s="3"/>
      <c r="AP212" s="3"/>
      <c r="AQ212" s="3"/>
      <c r="AS212" s="3"/>
      <c r="AT212" s="3"/>
      <c r="AU212" s="3"/>
      <c r="AW212" s="3"/>
      <c r="AX212" s="3"/>
      <c r="AY212" s="3"/>
      <c r="BA212" s="3"/>
      <c r="BB212" s="3"/>
      <c r="BC212" s="3"/>
      <c r="BD212" s="3"/>
      <c r="BE212" s="3"/>
    </row>
    <row r="213" spans="1:57" x14ac:dyDescent="0.25">
      <c r="A213" s="3"/>
      <c r="B213" s="3"/>
      <c r="C213" s="3"/>
      <c r="E213" s="3"/>
      <c r="F213" s="3"/>
      <c r="G213" s="3"/>
      <c r="I213" s="3"/>
      <c r="J213" s="3"/>
      <c r="K213" s="3"/>
      <c r="M213" s="3"/>
      <c r="N213" s="3"/>
      <c r="O213" s="3"/>
      <c r="Q213" s="3"/>
      <c r="R213" s="3"/>
      <c r="S213" s="3"/>
      <c r="T213" s="3"/>
      <c r="U213" s="3"/>
      <c r="V213" s="2"/>
      <c r="W213" s="2"/>
      <c r="Y213" s="2"/>
      <c r="Z213" s="2"/>
      <c r="AA213" s="2"/>
      <c r="AC213" s="2" t="s">
        <v>160</v>
      </c>
      <c r="AD213" s="2">
        <v>1.9251</v>
      </c>
      <c r="AE213" s="2">
        <f t="shared" si="7"/>
        <v>5.0000000000001155</v>
      </c>
      <c r="AG213" s="2" t="s">
        <v>160</v>
      </c>
      <c r="AH213" s="2">
        <v>1.925</v>
      </c>
      <c r="AI213" s="2">
        <f t="shared" si="8"/>
        <v>0</v>
      </c>
      <c r="AJ213" s="3"/>
      <c r="AK213" s="2" t="s">
        <v>160</v>
      </c>
      <c r="AL213" s="2">
        <v>1.9246000000000001</v>
      </c>
      <c r="AM213" s="2">
        <f t="shared" si="9"/>
        <v>5.0000000000001155</v>
      </c>
      <c r="AO213" s="3"/>
      <c r="AP213" s="3"/>
      <c r="AQ213" s="3"/>
      <c r="AS213" s="3"/>
      <c r="AT213" s="3"/>
      <c r="AU213" s="3"/>
      <c r="AW213" s="3"/>
      <c r="AX213" s="3"/>
      <c r="AY213" s="3"/>
      <c r="BA213" s="3"/>
      <c r="BB213" s="3"/>
      <c r="BC213" s="3"/>
      <c r="BD213" s="3"/>
      <c r="BE213" s="3"/>
    </row>
    <row r="214" spans="1:57" x14ac:dyDescent="0.25">
      <c r="A214" s="3"/>
      <c r="B214" s="3"/>
      <c r="C214" s="3"/>
      <c r="E214" s="3"/>
      <c r="F214" s="3"/>
      <c r="G214" s="3"/>
      <c r="I214" s="3"/>
      <c r="J214" s="3"/>
      <c r="K214" s="3"/>
      <c r="M214" s="3"/>
      <c r="N214" s="3"/>
      <c r="O214" s="3"/>
      <c r="Q214" s="3"/>
      <c r="R214" s="3"/>
      <c r="S214" s="3"/>
      <c r="T214" s="3"/>
      <c r="U214" s="3"/>
      <c r="V214" s="2"/>
      <c r="W214" s="2"/>
      <c r="Y214" s="2"/>
      <c r="Z214" s="2"/>
      <c r="AA214" s="2"/>
      <c r="AC214" s="2" t="s">
        <v>161</v>
      </c>
      <c r="AD214" s="2">
        <v>1.93</v>
      </c>
      <c r="AE214" s="2">
        <f t="shared" si="7"/>
        <v>4.8999999999999044</v>
      </c>
      <c r="AG214" s="2" t="s">
        <v>161</v>
      </c>
      <c r="AH214" s="2">
        <v>1.9351</v>
      </c>
      <c r="AI214" s="2">
        <f t="shared" si="8"/>
        <v>10.099999999999998</v>
      </c>
      <c r="AJ214" s="3"/>
      <c r="AK214" s="2" t="s">
        <v>161</v>
      </c>
      <c r="AL214" s="2">
        <v>1.9295</v>
      </c>
      <c r="AM214" s="2">
        <f t="shared" si="9"/>
        <v>4.8999999999999044</v>
      </c>
      <c r="AO214" s="3"/>
      <c r="AP214" s="3"/>
      <c r="AQ214" s="3"/>
      <c r="AS214" s="3"/>
      <c r="AT214" s="3"/>
      <c r="AU214" s="3"/>
      <c r="AW214" s="3"/>
      <c r="AX214" s="3"/>
      <c r="AY214" s="3"/>
      <c r="BA214" s="3"/>
      <c r="BB214" s="3"/>
      <c r="BC214" s="3"/>
      <c r="BD214" s="3"/>
      <c r="BE214" s="3"/>
    </row>
    <row r="215" spans="1:57" x14ac:dyDescent="0.25">
      <c r="A215" s="3"/>
      <c r="B215" s="3"/>
      <c r="C215" s="3"/>
      <c r="E215" s="3"/>
      <c r="F215" s="3"/>
      <c r="G215" s="3"/>
      <c r="I215" s="3"/>
      <c r="J215" s="3"/>
      <c r="K215" s="3"/>
      <c r="M215" s="3"/>
      <c r="N215" s="3"/>
      <c r="O215" s="3"/>
      <c r="Q215" s="3"/>
      <c r="R215" s="3"/>
      <c r="S215" s="3"/>
      <c r="T215" s="3"/>
      <c r="U215" s="3"/>
      <c r="V215" s="2"/>
      <c r="W215" s="2"/>
      <c r="Y215" s="2"/>
      <c r="Z215" s="2"/>
      <c r="AA215" s="2"/>
      <c r="AC215" s="2" t="s">
        <v>162</v>
      </c>
      <c r="AD215" s="2">
        <v>1.9350000000000001</v>
      </c>
      <c r="AE215" s="2">
        <f t="shared" si="7"/>
        <v>5.0000000000001155</v>
      </c>
      <c r="AG215" s="2" t="s">
        <v>162</v>
      </c>
      <c r="AH215" s="2">
        <v>1.9400999999999999</v>
      </c>
      <c r="AI215" s="2">
        <f t="shared" si="8"/>
        <v>4.9999999999998934</v>
      </c>
      <c r="AJ215" s="3"/>
      <c r="AK215" s="2" t="s">
        <v>162</v>
      </c>
      <c r="AL215" s="2">
        <v>1.9343999999999999</v>
      </c>
      <c r="AM215" s="2">
        <f t="shared" si="9"/>
        <v>4.8999999999999044</v>
      </c>
      <c r="AO215" s="3"/>
      <c r="AP215" s="3"/>
      <c r="AQ215" s="3"/>
      <c r="AS215" s="3"/>
      <c r="AT215" s="3"/>
      <c r="AU215" s="3"/>
      <c r="AW215" s="3"/>
      <c r="AX215" s="3"/>
      <c r="AY215" s="3"/>
      <c r="BA215" s="3"/>
      <c r="BB215" s="3"/>
      <c r="BC215" s="3"/>
      <c r="BD215" s="3"/>
      <c r="BE215" s="3"/>
    </row>
    <row r="216" spans="1:57" x14ac:dyDescent="0.25">
      <c r="A216" s="3"/>
      <c r="B216" s="3"/>
      <c r="C216" s="3"/>
      <c r="E216" s="3"/>
      <c r="F216" s="3"/>
      <c r="G216" s="3"/>
      <c r="I216" s="3"/>
      <c r="J216" s="3"/>
      <c r="K216" s="3"/>
      <c r="M216" s="3"/>
      <c r="N216" s="3"/>
      <c r="O216" s="3"/>
      <c r="Q216" s="3"/>
      <c r="R216" s="3"/>
      <c r="S216" s="3"/>
      <c r="T216" s="3"/>
      <c r="U216" s="3"/>
      <c r="V216" s="2"/>
      <c r="W216" s="2"/>
      <c r="Y216" s="2"/>
      <c r="Z216" s="2"/>
      <c r="AA216" s="2"/>
      <c r="AC216" s="2" t="s">
        <v>163</v>
      </c>
      <c r="AD216" s="2">
        <v>1.9401999999999999</v>
      </c>
      <c r="AE216" s="2">
        <f t="shared" si="7"/>
        <v>5.1999999999998714</v>
      </c>
      <c r="AG216" s="2" t="s">
        <v>163</v>
      </c>
      <c r="AH216" s="2">
        <v>1.9441999999999999</v>
      </c>
      <c r="AI216" s="2">
        <f t="shared" si="8"/>
        <v>4.0999999999999925</v>
      </c>
      <c r="AJ216" s="3"/>
      <c r="AK216" s="2" t="s">
        <v>163</v>
      </c>
      <c r="AL216" s="2">
        <v>1.9394</v>
      </c>
      <c r="AM216" s="2">
        <f t="shared" si="9"/>
        <v>5.0000000000001155</v>
      </c>
      <c r="AO216" s="3"/>
      <c r="AP216" s="3"/>
      <c r="AQ216" s="3"/>
      <c r="AS216" s="3"/>
      <c r="AT216" s="3"/>
      <c r="AU216" s="3"/>
      <c r="AW216" s="3"/>
      <c r="AX216" s="3"/>
      <c r="AY216" s="3"/>
      <c r="BA216" s="3"/>
      <c r="BB216" s="3"/>
      <c r="BC216" s="3"/>
      <c r="BD216" s="3"/>
      <c r="BE216" s="3"/>
    </row>
    <row r="217" spans="1:57" x14ac:dyDescent="0.25">
      <c r="A217" s="3"/>
      <c r="B217" s="3"/>
      <c r="C217" s="3"/>
      <c r="E217" s="3"/>
      <c r="F217" s="3"/>
      <c r="G217" s="3"/>
      <c r="I217" s="3"/>
      <c r="J217" s="3"/>
      <c r="K217" s="3"/>
      <c r="M217" s="3"/>
      <c r="N217" s="3"/>
      <c r="O217" s="3"/>
      <c r="Q217" s="3"/>
      <c r="R217" s="3"/>
      <c r="S217" s="3"/>
      <c r="T217" s="3"/>
      <c r="U217" s="3"/>
      <c r="V217" s="2"/>
      <c r="W217" s="2"/>
      <c r="Y217" s="2"/>
      <c r="Z217" s="2"/>
      <c r="AA217" s="2"/>
      <c r="AC217" s="2" t="s">
        <v>164</v>
      </c>
      <c r="AD217" s="2">
        <v>1.9451000000000001</v>
      </c>
      <c r="AE217" s="2">
        <f t="shared" si="7"/>
        <v>4.9000000000001265</v>
      </c>
      <c r="AG217" s="2" t="s">
        <v>164</v>
      </c>
      <c r="AH217" s="2">
        <v>1.9492</v>
      </c>
      <c r="AI217" s="2">
        <f t="shared" si="8"/>
        <v>5.0000000000001155</v>
      </c>
      <c r="AJ217" s="3"/>
      <c r="AK217" s="2" t="s">
        <v>164</v>
      </c>
      <c r="AL217" s="2">
        <v>1.9442999999999999</v>
      </c>
      <c r="AM217" s="2">
        <f t="shared" si="9"/>
        <v>4.8999999999999044</v>
      </c>
      <c r="AO217" s="3"/>
      <c r="AP217" s="3"/>
      <c r="AQ217" s="3"/>
      <c r="AS217" s="3"/>
      <c r="AT217" s="3"/>
      <c r="AU217" s="3"/>
      <c r="AW217" s="3"/>
      <c r="AX217" s="3"/>
      <c r="AY217" s="3"/>
      <c r="BA217" s="3"/>
      <c r="BB217" s="3"/>
      <c r="BC217" s="3"/>
      <c r="BD217" s="3"/>
      <c r="BE217" s="3"/>
    </row>
    <row r="218" spans="1:57" x14ac:dyDescent="0.25">
      <c r="A218" s="3"/>
      <c r="B218" s="3"/>
      <c r="C218" s="3"/>
      <c r="E218" s="3"/>
      <c r="F218" s="3"/>
      <c r="G218" s="3"/>
      <c r="I218" s="3"/>
      <c r="J218" s="3"/>
      <c r="K218" s="3"/>
      <c r="M218" s="3"/>
      <c r="N218" s="3"/>
      <c r="O218" s="3"/>
      <c r="Q218" s="3"/>
      <c r="R218" s="3"/>
      <c r="S218" s="3"/>
      <c r="T218" s="3"/>
      <c r="U218" s="3"/>
      <c r="V218" s="2"/>
      <c r="W218" s="2"/>
      <c r="Y218" s="2"/>
      <c r="Z218" s="2"/>
      <c r="AA218" s="2"/>
      <c r="AC218" s="2" t="s">
        <v>165</v>
      </c>
      <c r="AD218" s="2">
        <v>1.9500999999999999</v>
      </c>
      <c r="AE218" s="2">
        <f t="shared" si="7"/>
        <v>4.9999999999998934</v>
      </c>
      <c r="AG218" s="2" t="s">
        <v>165</v>
      </c>
      <c r="AH218" s="2">
        <v>1.9541999999999999</v>
      </c>
      <c r="AI218" s="2">
        <f t="shared" si="8"/>
        <v>4.9999999999998934</v>
      </c>
      <c r="AJ218" s="3"/>
      <c r="AK218" s="2" t="s">
        <v>165</v>
      </c>
      <c r="AL218" s="2">
        <v>1.9494</v>
      </c>
      <c r="AM218" s="2">
        <f t="shared" si="9"/>
        <v>5.1000000000001044</v>
      </c>
      <c r="AO218" s="3"/>
      <c r="AP218" s="3"/>
      <c r="AQ218" s="3"/>
      <c r="AS218" s="3"/>
      <c r="AT218" s="3"/>
      <c r="AU218" s="3"/>
      <c r="AW218" s="3"/>
      <c r="AX218" s="3"/>
      <c r="AY218" s="3"/>
      <c r="BA218" s="3"/>
      <c r="BB218" s="3"/>
      <c r="BC218" s="3"/>
      <c r="BD218" s="3"/>
      <c r="BE218" s="3"/>
    </row>
    <row r="219" spans="1:57" x14ac:dyDescent="0.25">
      <c r="A219" s="3"/>
      <c r="B219" s="3"/>
      <c r="C219" s="3"/>
      <c r="E219" s="3"/>
      <c r="F219" s="3"/>
      <c r="G219" s="3"/>
      <c r="I219" s="3"/>
      <c r="J219" s="3"/>
      <c r="K219" s="3"/>
      <c r="M219" s="3"/>
      <c r="N219" s="3"/>
      <c r="O219" s="3"/>
      <c r="Q219" s="3"/>
      <c r="R219" s="3"/>
      <c r="S219" s="3"/>
      <c r="T219" s="3"/>
      <c r="U219" s="3"/>
      <c r="V219" s="2"/>
      <c r="W219" s="2"/>
      <c r="Y219" s="2"/>
      <c r="Z219" s="2"/>
      <c r="AA219" s="2"/>
      <c r="AC219" s="2" t="s">
        <v>166</v>
      </c>
      <c r="AD219" s="2">
        <v>1.9550000000000001</v>
      </c>
      <c r="AE219" s="2">
        <f t="shared" si="7"/>
        <v>4.9000000000001265</v>
      </c>
      <c r="AG219" s="2" t="s">
        <v>166</v>
      </c>
      <c r="AH219" s="2">
        <v>1.9592000000000001</v>
      </c>
      <c r="AI219" s="2">
        <f t="shared" si="8"/>
        <v>5.0000000000001155</v>
      </c>
      <c r="AJ219" s="3"/>
      <c r="AK219" s="2" t="s">
        <v>166</v>
      </c>
      <c r="AL219" s="2">
        <v>1.9542999999999999</v>
      </c>
      <c r="AM219" s="2">
        <f t="shared" si="9"/>
        <v>4.8999999999999044</v>
      </c>
      <c r="AO219" s="3"/>
      <c r="AP219" s="3"/>
      <c r="AQ219" s="3"/>
      <c r="AS219" s="3"/>
      <c r="AT219" s="3"/>
      <c r="AU219" s="3"/>
      <c r="AW219" s="3"/>
      <c r="AX219" s="3"/>
      <c r="AY219" s="3"/>
      <c r="BA219" s="3"/>
      <c r="BB219" s="3"/>
      <c r="BC219" s="3"/>
      <c r="BD219" s="3"/>
      <c r="BE219" s="3"/>
    </row>
    <row r="220" spans="1:57" x14ac:dyDescent="0.25">
      <c r="A220" s="3"/>
      <c r="B220" s="3"/>
      <c r="C220" s="3"/>
      <c r="E220" s="3"/>
      <c r="F220" s="3"/>
      <c r="G220" s="3"/>
      <c r="I220" s="3"/>
      <c r="J220" s="3"/>
      <c r="K220" s="3"/>
      <c r="M220" s="3"/>
      <c r="N220" s="3"/>
      <c r="O220" s="3"/>
      <c r="Q220" s="3"/>
      <c r="R220" s="3"/>
      <c r="S220" s="3"/>
      <c r="T220" s="3"/>
      <c r="U220" s="3"/>
      <c r="V220" s="2"/>
      <c r="W220" s="2"/>
      <c r="Y220" s="2"/>
      <c r="Z220" s="2"/>
      <c r="AA220" s="2"/>
      <c r="AC220" s="2" t="s">
        <v>167</v>
      </c>
      <c r="AD220" s="2">
        <v>1.9603999999999999</v>
      </c>
      <c r="AE220" s="2">
        <f t="shared" si="7"/>
        <v>5.3999999999998494</v>
      </c>
      <c r="AG220" s="2" t="s">
        <v>167</v>
      </c>
      <c r="AH220" s="2">
        <v>1.9645999999999999</v>
      </c>
      <c r="AI220" s="2">
        <f t="shared" si="8"/>
        <v>5.3999999999998494</v>
      </c>
      <c r="AJ220" s="3"/>
      <c r="AK220" s="2" t="s">
        <v>167</v>
      </c>
      <c r="AL220" s="2">
        <v>1.9594</v>
      </c>
      <c r="AM220" s="2">
        <f t="shared" si="9"/>
        <v>5.1000000000001044</v>
      </c>
      <c r="AO220" s="3"/>
      <c r="AP220" s="3"/>
      <c r="AQ220" s="3"/>
      <c r="AS220" s="3"/>
      <c r="AT220" s="3"/>
      <c r="AU220" s="3"/>
      <c r="AW220" s="3"/>
      <c r="AX220" s="3"/>
      <c r="AY220" s="3"/>
      <c r="BA220" s="3"/>
      <c r="BB220" s="3"/>
      <c r="BC220" s="3"/>
      <c r="BD220" s="3"/>
      <c r="BE220" s="3"/>
    </row>
    <row r="221" spans="1:57" x14ac:dyDescent="0.25">
      <c r="A221" s="3"/>
      <c r="B221" s="3"/>
      <c r="C221" s="3"/>
      <c r="E221" s="3"/>
      <c r="F221" s="3"/>
      <c r="G221" s="3"/>
      <c r="I221" s="3"/>
      <c r="J221" s="3"/>
      <c r="K221" s="3"/>
      <c r="M221" s="3"/>
      <c r="N221" s="3"/>
      <c r="O221" s="3"/>
      <c r="Q221" s="3"/>
      <c r="R221" s="3"/>
      <c r="S221" s="3"/>
      <c r="T221" s="3"/>
      <c r="U221" s="3"/>
      <c r="V221" s="2"/>
      <c r="W221" s="2"/>
      <c r="Y221" s="2"/>
      <c r="Z221" s="2"/>
      <c r="AA221" s="2"/>
      <c r="AC221" s="2" t="s">
        <v>168</v>
      </c>
      <c r="AD221" s="2">
        <v>1.9653</v>
      </c>
      <c r="AE221" s="2">
        <f t="shared" si="7"/>
        <v>4.9000000000001265</v>
      </c>
      <c r="AG221" s="2" t="s">
        <v>168</v>
      </c>
      <c r="AH221" s="2">
        <v>1.9695</v>
      </c>
      <c r="AI221" s="2">
        <f t="shared" si="8"/>
        <v>4.9000000000001265</v>
      </c>
      <c r="AJ221" s="3"/>
      <c r="AK221" s="2" t="s">
        <v>168</v>
      </c>
      <c r="AL221" s="2">
        <v>1.9642999999999999</v>
      </c>
      <c r="AM221" s="2">
        <f t="shared" si="9"/>
        <v>4.8999999999999044</v>
      </c>
      <c r="AO221" s="3"/>
      <c r="AP221" s="3"/>
      <c r="AQ221" s="3"/>
      <c r="AS221" s="3"/>
      <c r="AT221" s="3"/>
      <c r="AU221" s="3"/>
      <c r="AW221" s="3"/>
      <c r="AX221" s="3"/>
      <c r="AY221" s="3"/>
      <c r="BA221" s="3"/>
      <c r="BB221" s="3"/>
      <c r="BC221" s="3"/>
      <c r="BD221" s="3"/>
      <c r="BE221" s="3"/>
    </row>
    <row r="222" spans="1:57" x14ac:dyDescent="0.25">
      <c r="A222" s="3"/>
      <c r="B222" s="3"/>
      <c r="C222" s="3"/>
      <c r="E222" s="3"/>
      <c r="F222" s="3"/>
      <c r="G222" s="3"/>
      <c r="I222" s="3"/>
      <c r="J222" s="3"/>
      <c r="K222" s="3"/>
      <c r="M222" s="3"/>
      <c r="N222" s="3"/>
      <c r="O222" s="3"/>
      <c r="Q222" s="3"/>
      <c r="R222" s="3"/>
      <c r="S222" s="3"/>
      <c r="T222" s="3"/>
      <c r="U222" s="3"/>
      <c r="V222" s="2"/>
      <c r="W222" s="2"/>
      <c r="Y222" s="2"/>
      <c r="Z222" s="2"/>
      <c r="AA222" s="2"/>
      <c r="AC222" s="2" t="s">
        <v>169</v>
      </c>
      <c r="AD222" s="2">
        <v>1.9702999999999999</v>
      </c>
      <c r="AE222" s="2">
        <f t="shared" si="7"/>
        <v>4.9999999999998934</v>
      </c>
      <c r="AG222" s="2" t="s">
        <v>169</v>
      </c>
      <c r="AH222" s="2">
        <v>1.9746999999999999</v>
      </c>
      <c r="AI222" s="2">
        <f t="shared" si="8"/>
        <v>5.1999999999998714</v>
      </c>
      <c r="AJ222" s="3"/>
      <c r="AK222" s="2" t="s">
        <v>169</v>
      </c>
      <c r="AL222" s="2">
        <v>1.9692000000000001</v>
      </c>
      <c r="AM222" s="2">
        <f t="shared" si="9"/>
        <v>4.9000000000001265</v>
      </c>
      <c r="AO222" s="3"/>
      <c r="AP222" s="3"/>
      <c r="AQ222" s="3"/>
      <c r="AS222" s="3"/>
      <c r="AT222" s="3"/>
      <c r="AU222" s="3"/>
      <c r="AW222" s="3"/>
      <c r="AX222" s="3"/>
      <c r="AY222" s="3"/>
      <c r="BA222" s="3"/>
      <c r="BB222" s="3"/>
      <c r="BC222" s="3"/>
      <c r="BD222" s="3"/>
      <c r="BE222" s="3"/>
    </row>
    <row r="223" spans="1:57" x14ac:dyDescent="0.25">
      <c r="A223" s="3"/>
      <c r="B223" s="3"/>
      <c r="C223" s="3"/>
      <c r="E223" s="3"/>
      <c r="F223" s="3"/>
      <c r="G223" s="3"/>
      <c r="I223" s="3"/>
      <c r="J223" s="3"/>
      <c r="K223" s="3"/>
      <c r="M223" s="3"/>
      <c r="N223" s="3"/>
      <c r="O223" s="3"/>
      <c r="Q223" s="3"/>
      <c r="R223" s="3"/>
      <c r="S223" s="3"/>
      <c r="T223" s="3"/>
      <c r="U223" s="3"/>
      <c r="V223" s="2"/>
      <c r="W223" s="2"/>
      <c r="Y223" s="2"/>
      <c r="Z223" s="2"/>
      <c r="AA223" s="2"/>
      <c r="AC223" s="2" t="s">
        <v>170</v>
      </c>
      <c r="AD223" s="2">
        <v>1.9752000000000001</v>
      </c>
      <c r="AE223" s="2">
        <f t="shared" si="7"/>
        <v>4.9000000000001265</v>
      </c>
      <c r="AG223" s="2" t="s">
        <v>170</v>
      </c>
      <c r="AH223" s="2">
        <v>1.9797</v>
      </c>
      <c r="AI223" s="2">
        <f t="shared" si="8"/>
        <v>5.0000000000001155</v>
      </c>
      <c r="AJ223" s="3"/>
      <c r="AK223" s="2" t="s">
        <v>170</v>
      </c>
      <c r="AL223" s="2">
        <v>1.9742</v>
      </c>
      <c r="AM223" s="2">
        <f t="shared" si="9"/>
        <v>4.9999999999998934</v>
      </c>
      <c r="AO223" s="3"/>
      <c r="AP223" s="3"/>
      <c r="AQ223" s="3"/>
      <c r="AS223" s="3"/>
      <c r="AT223" s="3"/>
      <c r="AU223" s="3"/>
      <c r="AW223" s="3"/>
      <c r="AX223" s="3"/>
      <c r="AY223" s="3"/>
      <c r="BA223" s="3"/>
      <c r="BB223" s="3"/>
      <c r="BC223" s="3"/>
      <c r="BD223" s="3"/>
      <c r="BE223" s="3"/>
    </row>
    <row r="224" spans="1:57" x14ac:dyDescent="0.25">
      <c r="A224" s="3"/>
      <c r="B224" s="3"/>
      <c r="C224" s="3"/>
      <c r="E224" s="3"/>
      <c r="F224" s="3"/>
      <c r="G224" s="3"/>
      <c r="I224" s="3"/>
      <c r="J224" s="3"/>
      <c r="K224" s="3"/>
      <c r="M224" s="3"/>
      <c r="N224" s="3"/>
      <c r="O224" s="3"/>
      <c r="Q224" s="3"/>
      <c r="R224" s="3"/>
      <c r="S224" s="3"/>
      <c r="T224" s="3"/>
      <c r="U224" s="3"/>
      <c r="V224" s="2"/>
      <c r="W224" s="2"/>
      <c r="Y224" s="2"/>
      <c r="Z224" s="2"/>
      <c r="AA224" s="2"/>
      <c r="AC224" s="2" t="s">
        <v>171</v>
      </c>
      <c r="AD224" s="2">
        <v>1.98</v>
      </c>
      <c r="AE224" s="2">
        <f t="shared" si="7"/>
        <v>4.7999999999999154</v>
      </c>
      <c r="AG224" s="2" t="s">
        <v>171</v>
      </c>
      <c r="AH224" s="2">
        <v>1.9845999999999999</v>
      </c>
      <c r="AI224" s="2">
        <f t="shared" si="8"/>
        <v>4.8999999999999044</v>
      </c>
      <c r="AJ224" s="3"/>
      <c r="AK224" s="2" t="s">
        <v>171</v>
      </c>
      <c r="AL224" s="2">
        <v>1.9791000000000001</v>
      </c>
      <c r="AM224" s="2">
        <f t="shared" si="9"/>
        <v>4.9000000000001265</v>
      </c>
      <c r="AO224" s="3"/>
      <c r="AP224" s="3"/>
      <c r="AQ224" s="3"/>
      <c r="AS224" s="3"/>
      <c r="AT224" s="3"/>
      <c r="AU224" s="3"/>
      <c r="AW224" s="3"/>
      <c r="AX224" s="3"/>
      <c r="AY224" s="3"/>
      <c r="BA224" s="3"/>
      <c r="BB224" s="3"/>
      <c r="BC224" s="3"/>
      <c r="BD224" s="3"/>
      <c r="BE224" s="3"/>
    </row>
    <row r="225" spans="1:57" x14ac:dyDescent="0.25">
      <c r="A225" s="3"/>
      <c r="B225" s="3"/>
      <c r="C225" s="3"/>
      <c r="E225" s="3"/>
      <c r="F225" s="3"/>
      <c r="G225" s="3"/>
      <c r="I225" s="3"/>
      <c r="J225" s="3"/>
      <c r="K225" s="3"/>
      <c r="M225" s="3"/>
      <c r="N225" s="3"/>
      <c r="O225" s="3"/>
      <c r="Q225" s="3"/>
      <c r="R225" s="3"/>
      <c r="S225" s="3"/>
      <c r="T225" s="3"/>
      <c r="U225" s="3"/>
      <c r="V225" s="2"/>
      <c r="W225" s="2"/>
      <c r="Y225" s="2"/>
      <c r="Z225" s="2"/>
      <c r="AA225" s="2"/>
      <c r="AC225" s="2" t="s">
        <v>172</v>
      </c>
      <c r="AD225" s="2">
        <v>1.9850000000000001</v>
      </c>
      <c r="AE225" s="2">
        <f t="shared" si="7"/>
        <v>5.0000000000001155</v>
      </c>
      <c r="AG225" s="2" t="s">
        <v>172</v>
      </c>
      <c r="AH225" s="2">
        <v>1.9896</v>
      </c>
      <c r="AI225" s="2">
        <f t="shared" si="8"/>
        <v>5.0000000000001155</v>
      </c>
      <c r="AJ225" s="3"/>
      <c r="AK225" s="2" t="s">
        <v>172</v>
      </c>
      <c r="AL225" s="2">
        <v>1.9841</v>
      </c>
      <c r="AM225" s="2">
        <f t="shared" si="9"/>
        <v>4.9999999999998934</v>
      </c>
      <c r="AO225" s="3"/>
      <c r="AP225" s="3"/>
      <c r="AQ225" s="3"/>
      <c r="AS225" s="3"/>
      <c r="AT225" s="3"/>
      <c r="AU225" s="3"/>
      <c r="AW225" s="3"/>
      <c r="AX225" s="3"/>
      <c r="AY225" s="3"/>
      <c r="BA225" s="3"/>
      <c r="BB225" s="3"/>
      <c r="BC225" s="3"/>
      <c r="BD225" s="3"/>
      <c r="BE225" s="3"/>
    </row>
    <row r="226" spans="1:57" x14ac:dyDescent="0.25">
      <c r="A226" s="3"/>
      <c r="B226" s="3"/>
      <c r="C226" s="3"/>
      <c r="E226" s="3"/>
      <c r="F226" s="3"/>
      <c r="G226" s="3"/>
      <c r="I226" s="3"/>
      <c r="J226" s="3"/>
      <c r="K226" s="3"/>
      <c r="M226" s="3"/>
      <c r="N226" s="3"/>
      <c r="O226" s="3"/>
      <c r="Q226" s="3"/>
      <c r="R226" s="3"/>
      <c r="S226" s="3"/>
      <c r="T226" s="3"/>
      <c r="U226" s="3"/>
      <c r="V226" s="2"/>
      <c r="W226" s="2"/>
      <c r="Y226" s="2"/>
      <c r="Z226" s="2"/>
      <c r="AA226" s="2"/>
      <c r="AC226" s="2" t="s">
        <v>173</v>
      </c>
      <c r="AD226" s="2">
        <v>1.9899</v>
      </c>
      <c r="AE226" s="2">
        <f t="shared" si="7"/>
        <v>4.8999999999999044</v>
      </c>
      <c r="AG226" s="2" t="s">
        <v>173</v>
      </c>
      <c r="AH226" s="2">
        <v>1.9944999999999999</v>
      </c>
      <c r="AI226" s="2">
        <f t="shared" si="8"/>
        <v>4.8999999999999044</v>
      </c>
      <c r="AJ226" s="3"/>
      <c r="AK226" s="2" t="s">
        <v>173</v>
      </c>
      <c r="AL226" s="2">
        <v>1.9890000000000001</v>
      </c>
      <c r="AM226" s="2">
        <f t="shared" si="9"/>
        <v>4.9000000000001265</v>
      </c>
      <c r="AO226" s="3"/>
      <c r="AP226" s="3"/>
      <c r="AQ226" s="3"/>
      <c r="AS226" s="3"/>
      <c r="AT226" s="3"/>
      <c r="AU226" s="3"/>
      <c r="AW226" s="3"/>
      <c r="AX226" s="3"/>
      <c r="AY226" s="3"/>
      <c r="BA226" s="3"/>
      <c r="BB226" s="3"/>
      <c r="BC226" s="3"/>
      <c r="BD226" s="3"/>
      <c r="BE226" s="3"/>
    </row>
    <row r="227" spans="1:57" x14ac:dyDescent="0.25">
      <c r="A227" s="3"/>
      <c r="B227" s="3"/>
      <c r="C227" s="3"/>
      <c r="E227" s="3"/>
      <c r="F227" s="3"/>
      <c r="G227" s="3"/>
      <c r="I227" s="3"/>
      <c r="J227" s="3"/>
      <c r="K227" s="3"/>
      <c r="M227" s="3"/>
      <c r="N227" s="3"/>
      <c r="O227" s="3"/>
      <c r="Q227" s="3"/>
      <c r="R227" s="3"/>
      <c r="S227" s="3"/>
      <c r="T227" s="3"/>
      <c r="U227" s="3"/>
      <c r="V227" s="2"/>
      <c r="W227" s="2"/>
      <c r="Y227" s="2"/>
      <c r="Z227" s="2"/>
      <c r="AA227" s="2"/>
      <c r="AC227" s="2" t="s">
        <v>174</v>
      </c>
      <c r="AD227" s="2">
        <v>1.9947999999999999</v>
      </c>
      <c r="AE227" s="2">
        <f t="shared" si="7"/>
        <v>4.8999999999999044</v>
      </c>
      <c r="AG227" s="2" t="s">
        <v>174</v>
      </c>
      <c r="AH227" s="2">
        <v>1.9996</v>
      </c>
      <c r="AI227" s="2">
        <f t="shared" si="8"/>
        <v>5.1000000000001044</v>
      </c>
      <c r="AJ227" s="3"/>
      <c r="AK227" s="2" t="s">
        <v>174</v>
      </c>
      <c r="AL227" s="2">
        <v>1.9939</v>
      </c>
      <c r="AM227" s="2">
        <f t="shared" si="9"/>
        <v>4.8999999999999044</v>
      </c>
      <c r="AO227" s="3"/>
      <c r="AP227" s="3"/>
      <c r="AQ227" s="3"/>
      <c r="AS227" s="3"/>
      <c r="AT227" s="3"/>
      <c r="AU227" s="3"/>
      <c r="AW227" s="3"/>
      <c r="AX227" s="3"/>
      <c r="AY227" s="3"/>
      <c r="BA227" s="3"/>
      <c r="BB227" s="3"/>
      <c r="BC227" s="3"/>
      <c r="BD227" s="3"/>
      <c r="BE227" s="3"/>
    </row>
    <row r="228" spans="1:57" x14ac:dyDescent="0.25">
      <c r="A228" s="3"/>
      <c r="B228" s="3"/>
      <c r="C228" s="3"/>
      <c r="E228" s="3"/>
      <c r="F228" s="3"/>
      <c r="G228" s="3"/>
      <c r="I228" s="3"/>
      <c r="J228" s="3"/>
      <c r="K228" s="3"/>
      <c r="M228" s="3"/>
      <c r="N228" s="3"/>
      <c r="O228" s="3"/>
      <c r="Q228" s="3"/>
      <c r="R228" s="3"/>
      <c r="S228" s="3"/>
      <c r="T228" s="3"/>
      <c r="U228" s="3"/>
      <c r="V228" s="2"/>
      <c r="W228" s="2"/>
      <c r="Y228" s="2"/>
      <c r="Z228" s="2"/>
      <c r="AA228" s="2"/>
      <c r="AC228" s="2" t="s">
        <v>175</v>
      </c>
      <c r="AD228" s="2">
        <v>2.0002</v>
      </c>
      <c r="AE228" s="2">
        <f t="shared" si="7"/>
        <v>5.4000000000000714</v>
      </c>
      <c r="AG228" s="2" t="s">
        <v>175</v>
      </c>
      <c r="AH228" s="2">
        <v>2.0049000000000001</v>
      </c>
      <c r="AI228" s="2">
        <f t="shared" si="8"/>
        <v>5.3000000000000824</v>
      </c>
      <c r="AJ228" s="3"/>
      <c r="AK228" s="2" t="s">
        <v>175</v>
      </c>
      <c r="AL228" s="2">
        <v>1.9990000000000001</v>
      </c>
      <c r="AM228" s="2">
        <f t="shared" si="9"/>
        <v>5.1000000000001044</v>
      </c>
      <c r="AO228" s="3"/>
      <c r="AP228" s="3"/>
      <c r="AQ228" s="3"/>
      <c r="AS228" s="3"/>
      <c r="AT228" s="3"/>
      <c r="AU228" s="3"/>
      <c r="AW228" s="3"/>
      <c r="AX228" s="3"/>
      <c r="AY228" s="3"/>
      <c r="BA228" s="3"/>
      <c r="BB228" s="3"/>
      <c r="BC228" s="3"/>
      <c r="BD228" s="3"/>
      <c r="BE228" s="3"/>
    </row>
    <row r="229" spans="1:57" x14ac:dyDescent="0.25">
      <c r="A229" s="3"/>
      <c r="B229" s="3"/>
      <c r="C229" s="3"/>
      <c r="E229" s="3"/>
      <c r="F229" s="3"/>
      <c r="G229" s="3"/>
      <c r="I229" s="3"/>
      <c r="J229" s="3"/>
      <c r="K229" s="3"/>
      <c r="M229" s="3"/>
      <c r="N229" s="3"/>
      <c r="O229" s="3"/>
      <c r="Q229" s="3"/>
      <c r="R229" s="3"/>
      <c r="S229" s="3"/>
      <c r="T229" s="3"/>
      <c r="U229" s="3"/>
      <c r="V229" s="2"/>
      <c r="W229" s="2"/>
      <c r="Y229" s="2"/>
      <c r="Z229" s="2"/>
      <c r="AA229" s="2"/>
      <c r="AC229" s="2" t="s">
        <v>176</v>
      </c>
      <c r="AD229" s="2">
        <v>2.0051000000000001</v>
      </c>
      <c r="AE229" s="2">
        <f t="shared" si="7"/>
        <v>4.9000000000001265</v>
      </c>
      <c r="AG229" s="2" t="s">
        <v>176</v>
      </c>
      <c r="AH229" s="2">
        <v>2.0099999999999998</v>
      </c>
      <c r="AI229" s="2">
        <f t="shared" si="8"/>
        <v>5.0999999999996604</v>
      </c>
      <c r="AJ229" s="3"/>
      <c r="AK229" s="2" t="s">
        <v>176</v>
      </c>
      <c r="AL229" s="2">
        <v>2.0038999999999998</v>
      </c>
      <c r="AM229" s="2">
        <f t="shared" si="9"/>
        <v>4.8999999999996824</v>
      </c>
      <c r="AO229" s="3"/>
      <c r="AP229" s="3"/>
      <c r="AQ229" s="3"/>
      <c r="AS229" s="3"/>
      <c r="AT229" s="3"/>
      <c r="AU229" s="3"/>
      <c r="AW229" s="3"/>
      <c r="AX229" s="3"/>
      <c r="AY229" s="3"/>
      <c r="BA229" s="3"/>
      <c r="BB229" s="3"/>
      <c r="BC229" s="3"/>
      <c r="BD229" s="3"/>
      <c r="BE229" s="3"/>
    </row>
    <row r="230" spans="1:57" x14ac:dyDescent="0.25">
      <c r="A230" s="3"/>
      <c r="B230" s="3"/>
      <c r="C230" s="3"/>
      <c r="E230" s="3"/>
      <c r="F230" s="3"/>
      <c r="G230" s="3"/>
      <c r="I230" s="3"/>
      <c r="J230" s="3"/>
      <c r="K230" s="3"/>
      <c r="M230" s="3"/>
      <c r="N230" s="3"/>
      <c r="O230" s="3"/>
      <c r="Q230" s="3"/>
      <c r="R230" s="3"/>
      <c r="S230" s="3"/>
      <c r="T230" s="3"/>
      <c r="U230" s="3"/>
      <c r="V230" s="2"/>
      <c r="W230" s="2"/>
      <c r="Y230" s="2"/>
      <c r="Z230" s="2"/>
      <c r="AA230" s="2"/>
      <c r="AC230" s="2" t="s">
        <v>177</v>
      </c>
      <c r="AD230" s="2">
        <v>2.0099999999999998</v>
      </c>
      <c r="AE230" s="2">
        <f t="shared" si="7"/>
        <v>4.8999999999996824</v>
      </c>
      <c r="AG230" s="2" t="s">
        <v>177</v>
      </c>
      <c r="AH230" s="2">
        <v>2.0150000000000001</v>
      </c>
      <c r="AI230" s="2">
        <f t="shared" si="8"/>
        <v>5.0000000000003375</v>
      </c>
      <c r="AJ230" s="3"/>
      <c r="AK230" s="2" t="s">
        <v>177</v>
      </c>
      <c r="AL230" s="2">
        <v>2.0089999999999999</v>
      </c>
      <c r="AM230" s="2">
        <f t="shared" si="9"/>
        <v>5.1000000000001044</v>
      </c>
      <c r="AO230" s="3"/>
      <c r="AP230" s="3"/>
      <c r="AQ230" s="3"/>
      <c r="AS230" s="3"/>
      <c r="AT230" s="3"/>
      <c r="AU230" s="3"/>
      <c r="AW230" s="3"/>
      <c r="AX230" s="3"/>
      <c r="AY230" s="3"/>
      <c r="BA230" s="3"/>
      <c r="BB230" s="3"/>
      <c r="BC230" s="3"/>
      <c r="BD230" s="3"/>
      <c r="BE230" s="3"/>
    </row>
    <row r="231" spans="1:57" x14ac:dyDescent="0.25">
      <c r="A231" s="3"/>
      <c r="B231" s="3"/>
      <c r="C231" s="3"/>
      <c r="E231" s="3"/>
      <c r="F231" s="3"/>
      <c r="G231" s="3"/>
      <c r="I231" s="3"/>
      <c r="J231" s="3"/>
      <c r="K231" s="3"/>
      <c r="M231" s="3"/>
      <c r="N231" s="3"/>
      <c r="O231" s="3"/>
      <c r="Q231" s="3"/>
      <c r="R231" s="3"/>
      <c r="S231" s="3"/>
      <c r="T231" s="3"/>
      <c r="U231" s="3"/>
      <c r="V231" s="2"/>
      <c r="W231" s="2"/>
      <c r="Y231" s="2"/>
      <c r="Z231" s="2"/>
      <c r="AA231" s="2"/>
      <c r="AC231" s="2" t="s">
        <v>178</v>
      </c>
      <c r="AD231" s="2">
        <v>2.0148999999999999</v>
      </c>
      <c r="AE231" s="2">
        <f t="shared" si="7"/>
        <v>4.9000000000001265</v>
      </c>
      <c r="AG231" s="2" t="s">
        <v>178</v>
      </c>
      <c r="AH231" s="2">
        <v>2.02</v>
      </c>
      <c r="AI231" s="2">
        <f t="shared" si="8"/>
        <v>4.9999999999998934</v>
      </c>
      <c r="AJ231" s="3"/>
      <c r="AK231" s="2" t="s">
        <v>178</v>
      </c>
      <c r="AL231" s="2">
        <v>2.0139</v>
      </c>
      <c r="AM231" s="2">
        <f t="shared" si="9"/>
        <v>4.9000000000001265</v>
      </c>
      <c r="AO231" s="3"/>
      <c r="AP231" s="3"/>
      <c r="AQ231" s="3"/>
      <c r="AS231" s="3"/>
      <c r="AT231" s="3"/>
      <c r="AU231" s="3"/>
      <c r="AW231" s="3"/>
      <c r="AX231" s="3"/>
      <c r="AY231" s="3"/>
      <c r="BA231" s="3"/>
      <c r="BB231" s="3"/>
      <c r="BC231" s="3"/>
      <c r="BD231" s="3"/>
      <c r="BE231" s="3"/>
    </row>
    <row r="232" spans="1:57" x14ac:dyDescent="0.25">
      <c r="A232" s="3"/>
      <c r="B232" s="3"/>
      <c r="C232" s="3"/>
      <c r="E232" s="3"/>
      <c r="F232" s="3"/>
      <c r="G232" s="3"/>
      <c r="I232" s="3"/>
      <c r="J232" s="3"/>
      <c r="K232" s="3"/>
      <c r="M232" s="3"/>
      <c r="N232" s="3"/>
      <c r="O232" s="3"/>
      <c r="Q232" s="3"/>
      <c r="R232" s="3"/>
      <c r="S232" s="3"/>
      <c r="T232" s="3"/>
      <c r="U232" s="3"/>
      <c r="V232" s="2"/>
      <c r="W232" s="2"/>
      <c r="Y232" s="2"/>
      <c r="Z232" s="2"/>
      <c r="AA232" s="2"/>
      <c r="AC232" s="2" t="s">
        <v>179</v>
      </c>
      <c r="AD232" s="2">
        <v>2.0184000000000002</v>
      </c>
      <c r="AE232" s="2">
        <f t="shared" si="7"/>
        <v>3.5000000000002807</v>
      </c>
      <c r="AG232" s="2" t="s">
        <v>179</v>
      </c>
      <c r="AH232" s="2">
        <v>2.0236999999999998</v>
      </c>
      <c r="AI232" s="2">
        <f t="shared" si="8"/>
        <v>3.6999999999998145</v>
      </c>
      <c r="AJ232" s="3"/>
      <c r="AK232" s="2" t="s">
        <v>179</v>
      </c>
      <c r="AL232" s="2">
        <v>2.0198</v>
      </c>
      <c r="AM232" s="2">
        <f t="shared" si="9"/>
        <v>5.9000000000000163</v>
      </c>
      <c r="AO232" s="3"/>
      <c r="AP232" s="3"/>
      <c r="AQ232" s="3"/>
      <c r="AS232" s="3"/>
      <c r="AT232" s="3"/>
      <c r="AU232" s="3"/>
      <c r="AW232" s="3"/>
      <c r="AX232" s="3"/>
      <c r="AY232" s="3"/>
      <c r="BA232" s="3"/>
      <c r="BB232" s="3"/>
      <c r="BC232" s="3"/>
      <c r="BD232" s="3"/>
      <c r="BE232" s="3"/>
    </row>
    <row r="233" spans="1:57" x14ac:dyDescent="0.25">
      <c r="A233" s="3"/>
      <c r="B233" s="3"/>
      <c r="C233" s="3"/>
      <c r="E233" s="3"/>
      <c r="F233" s="3"/>
      <c r="G233" s="3"/>
      <c r="I233" s="3"/>
      <c r="J233" s="3"/>
      <c r="K233" s="3"/>
      <c r="M233" s="3"/>
      <c r="N233" s="3"/>
      <c r="O233" s="3"/>
      <c r="Q233" s="3"/>
      <c r="R233" s="3"/>
      <c r="S233" s="3"/>
      <c r="T233" s="3"/>
      <c r="U233" s="3"/>
      <c r="V233" s="2"/>
      <c r="W233" s="2"/>
      <c r="Y233" s="2"/>
      <c r="Z233" s="2"/>
      <c r="AA233" s="2"/>
      <c r="AC233" s="2" t="s">
        <v>180</v>
      </c>
      <c r="AD233" s="2">
        <v>2.0234000000000001</v>
      </c>
      <c r="AE233" s="2">
        <f t="shared" si="7"/>
        <v>4.9999999999998934</v>
      </c>
      <c r="AG233" s="2" t="s">
        <v>180</v>
      </c>
      <c r="AH233" s="2">
        <v>2.0274999999999999</v>
      </c>
      <c r="AI233" s="2">
        <f t="shared" si="8"/>
        <v>3.8000000000000256</v>
      </c>
      <c r="AJ233" s="3"/>
      <c r="AK233" s="2" t="s">
        <v>180</v>
      </c>
      <c r="AL233" s="2">
        <v>2.0246</v>
      </c>
      <c r="AM233" s="2">
        <f t="shared" si="9"/>
        <v>4.7999999999999154</v>
      </c>
      <c r="AO233" s="3"/>
      <c r="AP233" s="3"/>
      <c r="AQ233" s="3"/>
      <c r="AS233" s="3"/>
      <c r="AT233" s="3"/>
      <c r="AU233" s="3"/>
      <c r="AW233" s="3"/>
      <c r="AX233" s="3"/>
      <c r="AY233" s="3"/>
      <c r="BA233" s="3"/>
      <c r="BB233" s="3"/>
      <c r="BC233" s="3"/>
      <c r="BD233" s="3"/>
      <c r="BE233" s="3"/>
    </row>
    <row r="234" spans="1:57" x14ac:dyDescent="0.25">
      <c r="A234" s="3"/>
      <c r="B234" s="3"/>
      <c r="C234" s="3"/>
      <c r="E234" s="3"/>
      <c r="F234" s="3"/>
      <c r="G234" s="3"/>
      <c r="I234" s="3"/>
      <c r="J234" s="3"/>
      <c r="K234" s="3"/>
      <c r="M234" s="3"/>
      <c r="N234" s="3"/>
      <c r="O234" s="3"/>
      <c r="Q234" s="3"/>
      <c r="R234" s="3"/>
      <c r="S234" s="3"/>
      <c r="T234" s="3"/>
      <c r="U234" s="3"/>
      <c r="V234" s="2"/>
      <c r="W234" s="2"/>
      <c r="Y234" s="2"/>
      <c r="Z234" s="2"/>
      <c r="AA234" s="2"/>
      <c r="AC234" s="2" t="s">
        <v>181</v>
      </c>
      <c r="AD234" s="2">
        <v>2.0280999999999998</v>
      </c>
      <c r="AE234" s="2">
        <f t="shared" si="7"/>
        <v>4.6999999999997044</v>
      </c>
      <c r="AG234" s="2" t="s">
        <v>181</v>
      </c>
      <c r="AH234" s="2">
        <v>2.0325000000000002</v>
      </c>
      <c r="AI234" s="2">
        <f t="shared" si="8"/>
        <v>5.0000000000003375</v>
      </c>
      <c r="AJ234" s="3"/>
      <c r="AK234" s="2" t="s">
        <v>181</v>
      </c>
      <c r="AL234" s="2">
        <v>2.0295999999999998</v>
      </c>
      <c r="AM234" s="2">
        <f t="shared" si="9"/>
        <v>4.9999999999998934</v>
      </c>
      <c r="AO234" s="3"/>
      <c r="AP234" s="3"/>
      <c r="AQ234" s="3"/>
      <c r="AS234" s="3"/>
      <c r="AT234" s="3"/>
      <c r="AU234" s="3"/>
      <c r="AW234" s="3"/>
      <c r="AX234" s="3"/>
      <c r="AY234" s="3"/>
      <c r="BA234" s="3"/>
      <c r="BB234" s="3"/>
      <c r="BC234" s="3"/>
      <c r="BD234" s="3"/>
      <c r="BE234" s="3"/>
    </row>
    <row r="235" spans="1:57" x14ac:dyDescent="0.25">
      <c r="A235" s="3"/>
      <c r="B235" s="3"/>
      <c r="C235" s="3"/>
      <c r="E235" s="3"/>
      <c r="F235" s="3"/>
      <c r="G235" s="3"/>
      <c r="I235" s="3"/>
      <c r="J235" s="3"/>
      <c r="K235" s="3"/>
      <c r="M235" s="3"/>
      <c r="N235" s="3"/>
      <c r="O235" s="3"/>
      <c r="Q235" s="3"/>
      <c r="R235" s="3"/>
      <c r="S235" s="3"/>
      <c r="T235" s="3"/>
      <c r="U235" s="3"/>
      <c r="V235" s="2"/>
      <c r="W235" s="2"/>
      <c r="Y235" s="2"/>
      <c r="Z235" s="2"/>
      <c r="AA235" s="2"/>
      <c r="AC235" s="2" t="s">
        <v>182</v>
      </c>
      <c r="AD235" s="2">
        <v>2.0329999999999999</v>
      </c>
      <c r="AE235" s="2">
        <f t="shared" si="7"/>
        <v>4.9000000000001265</v>
      </c>
      <c r="AG235" s="2" t="s">
        <v>182</v>
      </c>
      <c r="AH235" s="2">
        <v>2.0375000000000001</v>
      </c>
      <c r="AI235" s="2">
        <f t="shared" si="8"/>
        <v>4.9999999999998934</v>
      </c>
      <c r="AJ235" s="3"/>
      <c r="AK235" s="2" t="s">
        <v>182</v>
      </c>
      <c r="AL235" s="2">
        <v>2.0346000000000002</v>
      </c>
      <c r="AM235" s="2">
        <f t="shared" si="9"/>
        <v>5.0000000000003375</v>
      </c>
      <c r="AO235" s="3"/>
      <c r="AP235" s="3"/>
      <c r="AQ235" s="3"/>
      <c r="AS235" s="3"/>
      <c r="AT235" s="3"/>
      <c r="AU235" s="3"/>
      <c r="AW235" s="3"/>
      <c r="AX235" s="3"/>
      <c r="AY235" s="3"/>
      <c r="BA235" s="3"/>
      <c r="BB235" s="3"/>
      <c r="BC235" s="3"/>
      <c r="BD235" s="3"/>
      <c r="BE235" s="3"/>
    </row>
    <row r="236" spans="1:57" x14ac:dyDescent="0.25">
      <c r="A236" s="3"/>
      <c r="B236" s="3"/>
      <c r="C236" s="3"/>
      <c r="E236" s="3"/>
      <c r="F236" s="3"/>
      <c r="G236" s="3"/>
      <c r="I236" s="3"/>
      <c r="J236" s="3"/>
      <c r="K236" s="3"/>
      <c r="M236" s="3"/>
      <c r="N236" s="3"/>
      <c r="O236" s="3"/>
      <c r="Q236" s="3"/>
      <c r="R236" s="3"/>
      <c r="S236" s="3"/>
      <c r="T236" s="3"/>
      <c r="U236" s="3"/>
      <c r="V236" s="2"/>
      <c r="W236" s="2"/>
      <c r="Y236" s="2"/>
      <c r="Z236" s="2"/>
      <c r="AA236" s="2"/>
      <c r="AC236" s="2" t="s">
        <v>183</v>
      </c>
      <c r="AD236" s="2">
        <v>2.0384000000000002</v>
      </c>
      <c r="AE236" s="2">
        <f t="shared" si="7"/>
        <v>5.4000000000002935</v>
      </c>
      <c r="AG236" s="2" t="s">
        <v>183</v>
      </c>
      <c r="AH236" s="2">
        <v>2.0427</v>
      </c>
      <c r="AI236" s="2">
        <f t="shared" si="8"/>
        <v>5.1999999999998714</v>
      </c>
      <c r="AJ236" s="3"/>
      <c r="AK236" s="2" t="s">
        <v>183</v>
      </c>
      <c r="AL236" s="2">
        <v>2.0396000000000001</v>
      </c>
      <c r="AM236" s="2">
        <f t="shared" si="9"/>
        <v>4.9999999999998934</v>
      </c>
      <c r="AO236" s="3"/>
      <c r="AP236" s="3"/>
      <c r="AQ236" s="3"/>
      <c r="AS236" s="3"/>
      <c r="AT236" s="3"/>
      <c r="AU236" s="3"/>
      <c r="AW236" s="3"/>
      <c r="AX236" s="3"/>
      <c r="AY236" s="3"/>
      <c r="BA236" s="3"/>
      <c r="BB236" s="3"/>
      <c r="BC236" s="3"/>
      <c r="BD236" s="3"/>
      <c r="BE236" s="3"/>
    </row>
    <row r="237" spans="1:57" x14ac:dyDescent="0.25">
      <c r="A237" s="3"/>
      <c r="B237" s="3"/>
      <c r="C237" s="3"/>
      <c r="E237" s="3"/>
      <c r="F237" s="3"/>
      <c r="G237" s="3"/>
      <c r="I237" s="3"/>
      <c r="J237" s="3"/>
      <c r="K237" s="3"/>
      <c r="M237" s="3"/>
      <c r="N237" s="3"/>
      <c r="O237" s="3"/>
      <c r="Q237" s="3"/>
      <c r="R237" s="3"/>
      <c r="S237" s="3"/>
      <c r="T237" s="3"/>
      <c r="U237" s="3"/>
      <c r="V237" s="2"/>
      <c r="W237" s="2"/>
      <c r="Y237" s="2"/>
      <c r="Z237" s="2"/>
      <c r="AA237" s="2"/>
      <c r="AC237" s="2" t="s">
        <v>184</v>
      </c>
      <c r="AD237" s="2">
        <v>2.0432999999999999</v>
      </c>
      <c r="AE237" s="2">
        <f t="shared" si="7"/>
        <v>4.8999999999996824</v>
      </c>
      <c r="AG237" s="2" t="s">
        <v>184</v>
      </c>
      <c r="AH237" s="2">
        <v>2.0476999999999999</v>
      </c>
      <c r="AI237" s="2">
        <f t="shared" si="8"/>
        <v>4.9999999999998934</v>
      </c>
      <c r="AJ237" s="3"/>
      <c r="AK237" s="2" t="s">
        <v>184</v>
      </c>
      <c r="AL237" s="2">
        <v>2.0445000000000002</v>
      </c>
      <c r="AM237" s="2">
        <f t="shared" si="9"/>
        <v>4.9000000000001265</v>
      </c>
      <c r="AO237" s="3"/>
      <c r="AP237" s="3"/>
      <c r="AQ237" s="3"/>
      <c r="AS237" s="3"/>
      <c r="AT237" s="3"/>
      <c r="AU237" s="3"/>
      <c r="AW237" s="3"/>
      <c r="AX237" s="3"/>
      <c r="AY237" s="3"/>
      <c r="BA237" s="3"/>
      <c r="BB237" s="3"/>
      <c r="BC237" s="3"/>
      <c r="BD237" s="3"/>
      <c r="BE237" s="3"/>
    </row>
    <row r="238" spans="1:57" x14ac:dyDescent="0.25">
      <c r="A238" s="3"/>
      <c r="B238" s="3"/>
      <c r="C238" s="3"/>
      <c r="E238" s="3"/>
      <c r="F238" s="3"/>
      <c r="G238" s="3"/>
      <c r="I238" s="3"/>
      <c r="J238" s="3"/>
      <c r="K238" s="3"/>
      <c r="M238" s="3"/>
      <c r="N238" s="3"/>
      <c r="O238" s="3"/>
      <c r="Q238" s="3"/>
      <c r="R238" s="3"/>
      <c r="S238" s="3"/>
      <c r="T238" s="3"/>
      <c r="U238" s="3"/>
      <c r="V238" s="2"/>
      <c r="W238" s="2"/>
      <c r="Y238" s="2"/>
      <c r="Z238" s="2"/>
      <c r="AA238" s="2"/>
      <c r="AC238" s="2" t="s">
        <v>185</v>
      </c>
      <c r="AD238" s="2">
        <v>2.0480999999999998</v>
      </c>
      <c r="AE238" s="2">
        <f t="shared" si="7"/>
        <v>4.7999999999999154</v>
      </c>
      <c r="AG238" s="2" t="s">
        <v>185</v>
      </c>
      <c r="AH238" s="2">
        <v>2.0525000000000002</v>
      </c>
      <c r="AI238" s="2">
        <f t="shared" si="8"/>
        <v>4.8000000000003595</v>
      </c>
      <c r="AJ238" s="3"/>
      <c r="AK238" s="2" t="s">
        <v>185</v>
      </c>
      <c r="AL238" s="2">
        <v>2.0495000000000001</v>
      </c>
      <c r="AM238" s="2">
        <f t="shared" si="9"/>
        <v>4.9999999999998934</v>
      </c>
      <c r="AO238" s="3"/>
      <c r="AP238" s="3"/>
      <c r="AQ238" s="3"/>
      <c r="AS238" s="3"/>
      <c r="AT238" s="3"/>
      <c r="AU238" s="3"/>
      <c r="AW238" s="3"/>
      <c r="AX238" s="3"/>
      <c r="AY238" s="3"/>
      <c r="BA238" s="3"/>
      <c r="BB238" s="3"/>
      <c r="BC238" s="3"/>
      <c r="BD238" s="3"/>
      <c r="BE238" s="3"/>
    </row>
    <row r="239" spans="1:57" x14ac:dyDescent="0.25">
      <c r="A239" s="3"/>
      <c r="B239" s="3"/>
      <c r="C239" s="3"/>
      <c r="E239" s="3"/>
      <c r="F239" s="3"/>
      <c r="G239" s="3"/>
      <c r="I239" s="3"/>
      <c r="J239" s="3"/>
      <c r="K239" s="3"/>
      <c r="M239" s="3"/>
      <c r="N239" s="3"/>
      <c r="O239" s="3"/>
      <c r="Q239" s="3"/>
      <c r="R239" s="3"/>
      <c r="S239" s="3"/>
      <c r="T239" s="3"/>
      <c r="U239" s="3"/>
      <c r="V239" s="2"/>
      <c r="W239" s="2"/>
      <c r="Y239" s="2"/>
      <c r="Z239" s="2"/>
      <c r="AA239" s="2"/>
      <c r="AC239" s="2" t="s">
        <v>186</v>
      </c>
      <c r="AD239" s="2">
        <v>2.0529000000000002</v>
      </c>
      <c r="AE239" s="2">
        <f t="shared" si="7"/>
        <v>4.8000000000003595</v>
      </c>
      <c r="AG239" s="2" t="s">
        <v>186</v>
      </c>
      <c r="AH239" s="2">
        <v>2.0573999999999999</v>
      </c>
      <c r="AI239" s="2">
        <f t="shared" si="8"/>
        <v>4.8999999999996824</v>
      </c>
      <c r="AJ239" s="3"/>
      <c r="AK239" s="2" t="s">
        <v>186</v>
      </c>
      <c r="AL239" s="2">
        <v>2.0543999999999998</v>
      </c>
      <c r="AM239" s="2">
        <f t="shared" si="9"/>
        <v>4.8999999999996824</v>
      </c>
      <c r="AO239" s="3"/>
      <c r="AP239" s="3"/>
      <c r="AQ239" s="3"/>
      <c r="AS239" s="3"/>
      <c r="AT239" s="3"/>
      <c r="AU239" s="3"/>
      <c r="AW239" s="3"/>
      <c r="AX239" s="3"/>
      <c r="AY239" s="3"/>
      <c r="BA239" s="3"/>
      <c r="BB239" s="3"/>
      <c r="BC239" s="3"/>
      <c r="BD239" s="3"/>
      <c r="BE239" s="3"/>
    </row>
    <row r="240" spans="1:57" x14ac:dyDescent="0.25">
      <c r="A240" s="3"/>
      <c r="B240" s="3"/>
      <c r="C240" s="3"/>
      <c r="E240" s="3"/>
      <c r="F240" s="3"/>
      <c r="G240" s="3"/>
      <c r="I240" s="3"/>
      <c r="J240" s="3"/>
      <c r="K240" s="3"/>
      <c r="M240" s="3"/>
      <c r="N240" s="3"/>
      <c r="O240" s="3"/>
      <c r="Q240" s="3"/>
      <c r="R240" s="3"/>
      <c r="S240" s="3"/>
      <c r="T240" s="3"/>
      <c r="U240" s="3"/>
      <c r="V240" s="2"/>
      <c r="W240" s="2"/>
      <c r="Y240" s="2"/>
      <c r="Z240" s="2"/>
      <c r="AA240" s="2"/>
      <c r="AC240" s="2" t="s">
        <v>187</v>
      </c>
      <c r="AD240" s="2">
        <v>2.0575999999999999</v>
      </c>
      <c r="AE240" s="2">
        <f t="shared" si="7"/>
        <v>4.6999999999997044</v>
      </c>
      <c r="AG240" s="2" t="s">
        <v>187</v>
      </c>
      <c r="AH240" s="2">
        <v>2.0621999999999998</v>
      </c>
      <c r="AI240" s="2">
        <f t="shared" si="8"/>
        <v>4.7999999999999154</v>
      </c>
      <c r="AJ240" s="3"/>
      <c r="AK240" s="2" t="s">
        <v>187</v>
      </c>
      <c r="AL240" s="2">
        <v>2.0594000000000001</v>
      </c>
      <c r="AM240" s="2">
        <f t="shared" si="9"/>
        <v>5.0000000000003375</v>
      </c>
      <c r="AO240" s="3"/>
      <c r="AP240" s="3"/>
      <c r="AQ240" s="3"/>
      <c r="AS240" s="3"/>
      <c r="AT240" s="3"/>
      <c r="AU240" s="3"/>
      <c r="AW240" s="3"/>
      <c r="AX240" s="3"/>
      <c r="AY240" s="3"/>
      <c r="BA240" s="3"/>
      <c r="BB240" s="3"/>
      <c r="BC240" s="3"/>
      <c r="BD240" s="3"/>
      <c r="BE240" s="3"/>
    </row>
    <row r="241" spans="1:57" x14ac:dyDescent="0.25">
      <c r="A241" s="3"/>
      <c r="B241" s="3"/>
      <c r="C241" s="3"/>
      <c r="E241" s="3"/>
      <c r="F241" s="3"/>
      <c r="G241" s="3"/>
      <c r="I241" s="3"/>
      <c r="J241" s="3"/>
      <c r="K241" s="3"/>
      <c r="M241" s="3"/>
      <c r="N241" s="3"/>
      <c r="O241" s="3"/>
      <c r="Q241" s="3"/>
      <c r="R241" s="3"/>
      <c r="S241" s="3"/>
      <c r="T241" s="3"/>
      <c r="U241" s="3"/>
      <c r="V241" s="2"/>
      <c r="W241" s="2"/>
      <c r="Y241" s="2"/>
      <c r="Z241" s="2"/>
      <c r="AA241" s="2"/>
      <c r="AC241" s="2" t="s">
        <v>188</v>
      </c>
      <c r="AD241" s="2">
        <v>2.0623</v>
      </c>
      <c r="AE241" s="2">
        <f t="shared" si="7"/>
        <v>4.7000000000001485</v>
      </c>
      <c r="AG241" s="2" t="s">
        <v>188</v>
      </c>
      <c r="AH241" s="2">
        <v>2.0670000000000002</v>
      </c>
      <c r="AI241" s="2">
        <f t="shared" si="8"/>
        <v>4.8000000000003595</v>
      </c>
      <c r="AJ241" s="3"/>
      <c r="AK241" s="2" t="s">
        <v>188</v>
      </c>
      <c r="AL241" s="2">
        <v>2.0642999999999998</v>
      </c>
      <c r="AM241" s="2">
        <f t="shared" si="9"/>
        <v>4.8999999999996824</v>
      </c>
      <c r="AO241" s="3"/>
      <c r="AP241" s="3"/>
      <c r="AQ241" s="3"/>
      <c r="AS241" s="3"/>
      <c r="AT241" s="3"/>
      <c r="AU241" s="3"/>
      <c r="AW241" s="3"/>
      <c r="AX241" s="3"/>
      <c r="AY241" s="3"/>
      <c r="BA241" s="3"/>
      <c r="BB241" s="3"/>
      <c r="BC241" s="3"/>
      <c r="BD241" s="3"/>
      <c r="BE241" s="3"/>
    </row>
    <row r="242" spans="1:57" x14ac:dyDescent="0.25">
      <c r="A242" s="3"/>
      <c r="B242" s="3"/>
      <c r="C242" s="3"/>
      <c r="E242" s="3"/>
      <c r="F242" s="3"/>
      <c r="G242" s="3"/>
      <c r="I242" s="3"/>
      <c r="J242" s="3"/>
      <c r="K242" s="3"/>
      <c r="M242" s="3"/>
      <c r="N242" s="3"/>
      <c r="O242" s="3"/>
      <c r="Q242" s="3"/>
      <c r="R242" s="3"/>
      <c r="S242" s="3"/>
      <c r="T242" s="3"/>
      <c r="U242" s="3"/>
      <c r="V242" s="2"/>
      <c r="W242" s="2"/>
      <c r="Y242" s="2"/>
      <c r="Z242" s="2"/>
      <c r="AA242" s="2"/>
      <c r="AC242" s="2" t="s">
        <v>189</v>
      </c>
      <c r="AD242" s="2">
        <v>2.0670999999999999</v>
      </c>
      <c r="AE242" s="2">
        <f t="shared" si="7"/>
        <v>4.7999999999999154</v>
      </c>
      <c r="AG242" s="2" t="s">
        <v>189</v>
      </c>
      <c r="AH242" s="2">
        <v>2.0718000000000001</v>
      </c>
      <c r="AI242" s="2">
        <f t="shared" si="8"/>
        <v>4.7999999999999154</v>
      </c>
      <c r="AJ242" s="3"/>
      <c r="AK242" s="2" t="s">
        <v>189</v>
      </c>
      <c r="AL242" s="2">
        <v>2.0693999999999999</v>
      </c>
      <c r="AM242" s="2">
        <f t="shared" si="9"/>
        <v>5.1000000000001044</v>
      </c>
      <c r="AO242" s="3"/>
      <c r="AP242" s="3"/>
      <c r="AQ242" s="3"/>
      <c r="AS242" s="3"/>
      <c r="AT242" s="3"/>
      <c r="AU242" s="3"/>
      <c r="AW242" s="3"/>
      <c r="AX242" s="3"/>
      <c r="AY242" s="3"/>
      <c r="BA242" s="3"/>
      <c r="BB242" s="3"/>
      <c r="BC242" s="3"/>
      <c r="BD242" s="3"/>
      <c r="BE242" s="3"/>
    </row>
    <row r="243" spans="1:57" x14ac:dyDescent="0.25">
      <c r="A243" s="3"/>
      <c r="B243" s="3"/>
      <c r="C243" s="3"/>
      <c r="E243" s="3"/>
      <c r="F243" s="3"/>
      <c r="G243" s="3"/>
      <c r="I243" s="3"/>
      <c r="J243" s="3"/>
      <c r="K243" s="3"/>
      <c r="M243" s="3"/>
      <c r="N243" s="3"/>
      <c r="O243" s="3"/>
      <c r="Q243" s="3"/>
      <c r="R243" s="3"/>
      <c r="S243" s="3"/>
      <c r="T243" s="3"/>
      <c r="U243" s="3"/>
      <c r="V243" s="2"/>
      <c r="W243" s="2"/>
      <c r="Y243" s="2"/>
      <c r="Z243" s="2"/>
      <c r="AA243" s="2"/>
      <c r="AC243" s="2" t="s">
        <v>190</v>
      </c>
      <c r="AD243" s="2">
        <v>2.0716999999999999</v>
      </c>
      <c r="AE243" s="2">
        <f t="shared" si="7"/>
        <v>4.5999999999999375</v>
      </c>
      <c r="AG243" s="2" t="s">
        <v>190</v>
      </c>
      <c r="AH243" s="2">
        <v>2.0764999999999998</v>
      </c>
      <c r="AI243" s="2">
        <f t="shared" si="8"/>
        <v>4.6999999999997044</v>
      </c>
      <c r="AJ243" s="3"/>
      <c r="AK243" s="2" t="s">
        <v>190</v>
      </c>
      <c r="AL243" s="2">
        <v>2.0743</v>
      </c>
      <c r="AM243" s="2">
        <f t="shared" si="9"/>
        <v>4.9000000000001265</v>
      </c>
      <c r="AO243" s="3"/>
      <c r="AP243" s="3"/>
      <c r="AQ243" s="3"/>
      <c r="AS243" s="3"/>
      <c r="AT243" s="3"/>
      <c r="AU243" s="3"/>
      <c r="AW243" s="3"/>
      <c r="AX243" s="3"/>
      <c r="AY243" s="3"/>
      <c r="BA243" s="3"/>
      <c r="BB243" s="3"/>
      <c r="BC243" s="3"/>
      <c r="BD243" s="3"/>
      <c r="BE243" s="3"/>
    </row>
    <row r="244" spans="1:57" x14ac:dyDescent="0.25">
      <c r="A244" s="3"/>
      <c r="B244" s="3"/>
      <c r="C244" s="3"/>
      <c r="E244" s="3"/>
      <c r="F244" s="3"/>
      <c r="G244" s="3"/>
      <c r="I244" s="3"/>
      <c r="J244" s="3"/>
      <c r="K244" s="3"/>
      <c r="M244" s="3"/>
      <c r="N244" s="3"/>
      <c r="O244" s="3"/>
      <c r="Q244" s="3"/>
      <c r="R244" s="3"/>
      <c r="S244" s="3"/>
      <c r="T244" s="3"/>
      <c r="U244" s="3"/>
      <c r="V244" s="2"/>
      <c r="W244" s="2"/>
      <c r="Y244" s="2"/>
      <c r="Z244" s="2"/>
      <c r="AA244" s="2"/>
      <c r="AC244" s="2" t="s">
        <v>191</v>
      </c>
      <c r="AD244" s="2">
        <v>2.0768</v>
      </c>
      <c r="AE244" s="2">
        <f t="shared" si="7"/>
        <v>5.1000000000001044</v>
      </c>
      <c r="AG244" s="2" t="s">
        <v>191</v>
      </c>
      <c r="AH244" s="2">
        <v>2.0813999999999999</v>
      </c>
      <c r="AI244" s="2">
        <f t="shared" si="8"/>
        <v>4.9000000000001265</v>
      </c>
      <c r="AJ244" s="3"/>
      <c r="AK244" s="2" t="s">
        <v>191</v>
      </c>
      <c r="AL244" s="2">
        <v>2.0792999999999999</v>
      </c>
      <c r="AM244" s="2">
        <f t="shared" si="9"/>
        <v>4.9999999999998934</v>
      </c>
      <c r="AO244" s="3"/>
      <c r="AP244" s="3"/>
      <c r="AQ244" s="3"/>
      <c r="AS244" s="3"/>
      <c r="AT244" s="3"/>
      <c r="AU244" s="3"/>
      <c r="AW244" s="3"/>
      <c r="AX244" s="3"/>
      <c r="AY244" s="3"/>
      <c r="BA244" s="3"/>
      <c r="BB244" s="3"/>
      <c r="BC244" s="3"/>
      <c r="BD244" s="3"/>
      <c r="BE244" s="3"/>
    </row>
    <row r="245" spans="1:57" x14ac:dyDescent="0.25">
      <c r="A245" s="3"/>
      <c r="B245" s="3"/>
      <c r="C245" s="3"/>
      <c r="E245" s="3"/>
      <c r="F245" s="3"/>
      <c r="G245" s="3"/>
      <c r="I245" s="3"/>
      <c r="J245" s="3"/>
      <c r="K245" s="3"/>
      <c r="M245" s="3"/>
      <c r="N245" s="3"/>
      <c r="O245" s="3"/>
      <c r="Q245" s="3"/>
      <c r="R245" s="3"/>
      <c r="S245" s="3"/>
      <c r="T245" s="3"/>
      <c r="U245" s="3"/>
      <c r="V245" s="2"/>
      <c r="W245" s="2"/>
      <c r="Y245" s="2"/>
      <c r="Z245" s="2"/>
      <c r="AA245" s="2"/>
      <c r="AC245" s="2" t="s">
        <v>192</v>
      </c>
      <c r="AD245" s="2">
        <v>2.0813999999999999</v>
      </c>
      <c r="AE245" s="2">
        <f t="shared" si="7"/>
        <v>4.5999999999999375</v>
      </c>
      <c r="AG245" s="2" t="s">
        <v>192</v>
      </c>
      <c r="AH245" s="2">
        <v>2.0861000000000001</v>
      </c>
      <c r="AI245" s="2">
        <f t="shared" si="8"/>
        <v>4.7000000000001485</v>
      </c>
      <c r="AJ245" s="3"/>
      <c r="AK245" s="2" t="s">
        <v>192</v>
      </c>
      <c r="AL245" s="2">
        <v>2.0844</v>
      </c>
      <c r="AM245" s="2">
        <f t="shared" si="9"/>
        <v>5.1000000000001044</v>
      </c>
      <c r="AO245" s="3"/>
      <c r="AP245" s="3"/>
      <c r="AQ245" s="3"/>
      <c r="AS245" s="3"/>
      <c r="AT245" s="3"/>
      <c r="AU245" s="3"/>
      <c r="AW245" s="3"/>
      <c r="AX245" s="3"/>
      <c r="AY245" s="3"/>
      <c r="BA245" s="3"/>
      <c r="BB245" s="3"/>
      <c r="BC245" s="3"/>
      <c r="BD245" s="3"/>
      <c r="BE245" s="3"/>
    </row>
    <row r="246" spans="1:57" x14ac:dyDescent="0.25">
      <c r="A246" s="3"/>
      <c r="B246" s="3"/>
      <c r="C246" s="3"/>
      <c r="E246" s="3"/>
      <c r="F246" s="3"/>
      <c r="G246" s="3"/>
      <c r="I246" s="3"/>
      <c r="J246" s="3"/>
      <c r="K246" s="3"/>
      <c r="M246" s="3"/>
      <c r="N246" s="3"/>
      <c r="O246" s="3"/>
      <c r="Q246" s="3"/>
      <c r="R246" s="3"/>
      <c r="S246" s="3"/>
      <c r="T246" s="3"/>
      <c r="U246" s="3"/>
      <c r="V246" s="2"/>
      <c r="W246" s="2"/>
      <c r="Y246" s="2"/>
      <c r="Z246" s="2"/>
      <c r="AA246" s="2"/>
      <c r="AC246" s="2" t="s">
        <v>193</v>
      </c>
      <c r="AD246" s="2">
        <v>2.0861000000000001</v>
      </c>
      <c r="AE246" s="2">
        <f t="shared" si="7"/>
        <v>4.7000000000001485</v>
      </c>
      <c r="AG246" s="2" t="s">
        <v>193</v>
      </c>
      <c r="AH246" s="2">
        <v>2.0905999999999998</v>
      </c>
      <c r="AI246" s="2">
        <f t="shared" si="8"/>
        <v>4.4999999999997264</v>
      </c>
      <c r="AJ246" s="3"/>
      <c r="AK246" s="2" t="s">
        <v>193</v>
      </c>
      <c r="AL246" s="2">
        <v>2.0893000000000002</v>
      </c>
      <c r="AM246" s="2">
        <f t="shared" si="9"/>
        <v>4.9000000000001265</v>
      </c>
      <c r="AO246" s="3"/>
      <c r="AP246" s="3"/>
      <c r="AQ246" s="3"/>
      <c r="AS246" s="3"/>
      <c r="AT246" s="3"/>
      <c r="AU246" s="3"/>
      <c r="AW246" s="3"/>
      <c r="AX246" s="3"/>
      <c r="AY246" s="3"/>
      <c r="BA246" s="3"/>
      <c r="BB246" s="3"/>
      <c r="BC246" s="3"/>
      <c r="BD246" s="3"/>
      <c r="BE246" s="3"/>
    </row>
    <row r="247" spans="1:57" x14ac:dyDescent="0.25">
      <c r="A247" s="3"/>
      <c r="B247" s="3"/>
      <c r="C247" s="3"/>
      <c r="E247" s="3"/>
      <c r="F247" s="3"/>
      <c r="G247" s="3"/>
      <c r="I247" s="3"/>
      <c r="J247" s="3"/>
      <c r="K247" s="3"/>
      <c r="M247" s="3"/>
      <c r="N247" s="3"/>
      <c r="O247" s="3"/>
      <c r="Q247" s="3"/>
      <c r="R247" s="3"/>
      <c r="S247" s="3"/>
      <c r="T247" s="3"/>
      <c r="U247" s="3"/>
      <c r="V247" s="2"/>
      <c r="W247" s="2"/>
      <c r="Y247" s="2"/>
      <c r="Z247" s="2"/>
      <c r="AA247" s="2"/>
      <c r="AC247" s="2" t="s">
        <v>194</v>
      </c>
      <c r="AD247" s="2">
        <v>2.0905</v>
      </c>
      <c r="AE247" s="2">
        <f t="shared" si="7"/>
        <v>4.3999999999999595</v>
      </c>
      <c r="AG247" s="2" t="s">
        <v>194</v>
      </c>
      <c r="AH247" s="2">
        <v>2.0950000000000002</v>
      </c>
      <c r="AI247" s="2">
        <f t="shared" si="8"/>
        <v>4.4000000000004036</v>
      </c>
      <c r="AJ247" s="3"/>
      <c r="AK247" s="2" t="s">
        <v>194</v>
      </c>
      <c r="AL247" s="2">
        <v>2.0943000000000001</v>
      </c>
      <c r="AM247" s="2">
        <f t="shared" si="9"/>
        <v>4.9999999999998934</v>
      </c>
      <c r="AO247" s="3"/>
      <c r="AP247" s="3"/>
      <c r="AQ247" s="3"/>
      <c r="AS247" s="3"/>
      <c r="AT247" s="3"/>
      <c r="AU247" s="3"/>
      <c r="AW247" s="3"/>
      <c r="AX247" s="3"/>
      <c r="AY247" s="3"/>
      <c r="BA247" s="3"/>
      <c r="BB247" s="3"/>
      <c r="BC247" s="3"/>
      <c r="BD247" s="3"/>
      <c r="BE247" s="3"/>
    </row>
    <row r="248" spans="1:57" x14ac:dyDescent="0.25">
      <c r="A248" s="3"/>
      <c r="B248" s="3"/>
      <c r="C248" s="3"/>
      <c r="E248" s="3"/>
      <c r="F248" s="3"/>
      <c r="G248" s="3"/>
      <c r="I248" s="3"/>
      <c r="J248" s="3"/>
      <c r="K248" s="3"/>
      <c r="M248" s="3"/>
      <c r="N248" s="3"/>
      <c r="O248" s="3"/>
      <c r="Q248" s="3"/>
      <c r="R248" s="3"/>
      <c r="S248" s="3"/>
      <c r="T248" s="3"/>
      <c r="U248" s="3"/>
      <c r="V248" s="2"/>
      <c r="W248" s="2"/>
      <c r="Y248" s="2"/>
      <c r="Z248" s="2"/>
      <c r="AA248" s="2"/>
      <c r="AC248" s="2"/>
      <c r="AD248" s="2"/>
      <c r="AE248" s="2">
        <f>AVERAGE(AE9:AE247)</f>
        <v>4.9841004184100361</v>
      </c>
      <c r="AG248" s="2" t="s">
        <v>195</v>
      </c>
      <c r="AH248" s="2">
        <v>2.0985</v>
      </c>
      <c r="AI248" s="2">
        <f t="shared" si="8"/>
        <v>3.4999999999998366</v>
      </c>
      <c r="AJ248" s="3"/>
      <c r="AK248" s="2" t="s">
        <v>195</v>
      </c>
      <c r="AL248" s="2">
        <v>2.0992000000000002</v>
      </c>
      <c r="AM248" s="2">
        <f t="shared" si="9"/>
        <v>4.9000000000001265</v>
      </c>
      <c r="AO248" s="3"/>
      <c r="AP248" s="3"/>
      <c r="AQ248" s="3"/>
      <c r="AS248" s="3"/>
      <c r="AT248" s="3"/>
      <c r="AU248" s="3"/>
      <c r="AW248" s="3"/>
      <c r="AX248" s="3"/>
      <c r="AY248" s="3"/>
      <c r="BA248" s="3"/>
      <c r="BB248" s="3"/>
      <c r="BC248" s="3"/>
      <c r="BD248" s="3"/>
      <c r="BE248" s="3"/>
    </row>
    <row r="249" spans="1:57" x14ac:dyDescent="0.25">
      <c r="A249" s="3"/>
      <c r="B249" s="3"/>
      <c r="C249" s="3"/>
      <c r="E249" s="3"/>
      <c r="F249" s="3"/>
      <c r="G249" s="3"/>
      <c r="I249" s="3"/>
      <c r="J249" s="3"/>
      <c r="K249" s="3"/>
      <c r="M249" s="3"/>
      <c r="N249" s="3"/>
      <c r="O249" s="3"/>
      <c r="Q249" s="3"/>
      <c r="R249" s="3"/>
      <c r="S249" s="3"/>
      <c r="T249" s="3"/>
      <c r="U249" s="3"/>
      <c r="V249" s="2"/>
      <c r="W249" s="2"/>
      <c r="Y249" s="2"/>
      <c r="Z249" s="2"/>
      <c r="AA249" s="2"/>
      <c r="AC249" s="2"/>
      <c r="AD249" s="2"/>
      <c r="AE249" s="2"/>
      <c r="AG249" s="2" t="s">
        <v>196</v>
      </c>
      <c r="AH249" s="2">
        <v>2.1025999999999998</v>
      </c>
      <c r="AI249" s="2">
        <f t="shared" si="8"/>
        <v>4.0999999999997705</v>
      </c>
      <c r="AJ249" s="3"/>
      <c r="AK249" s="2" t="s">
        <v>196</v>
      </c>
      <c r="AL249" s="2">
        <v>2.1042000000000001</v>
      </c>
      <c r="AM249" s="2">
        <f t="shared" si="9"/>
        <v>4.9999999999998934</v>
      </c>
      <c r="AO249" s="3"/>
      <c r="AP249" s="3"/>
      <c r="AQ249" s="3"/>
      <c r="AS249" s="3"/>
      <c r="AT249" s="3"/>
      <c r="AU249" s="3"/>
      <c r="AW249" s="3"/>
      <c r="AX249" s="3"/>
      <c r="AY249" s="3"/>
      <c r="BA249" s="3"/>
      <c r="BB249" s="3"/>
      <c r="BC249" s="3"/>
      <c r="BD249" s="3"/>
      <c r="BE249" s="3"/>
    </row>
    <row r="250" spans="1:57" x14ac:dyDescent="0.25">
      <c r="A250" s="3"/>
      <c r="B250" s="3"/>
      <c r="C250" s="3"/>
      <c r="E250" s="3"/>
      <c r="F250" s="3"/>
      <c r="G250" s="3"/>
      <c r="I250" s="3"/>
      <c r="J250" s="3"/>
      <c r="K250" s="3"/>
      <c r="M250" s="3"/>
      <c r="N250" s="3"/>
      <c r="O250" s="3"/>
      <c r="Q250" s="3"/>
      <c r="R250" s="3"/>
      <c r="S250" s="3"/>
      <c r="T250" s="3"/>
      <c r="U250" s="3"/>
      <c r="V250" s="2"/>
      <c r="W250" s="2"/>
      <c r="Y250" s="2"/>
      <c r="Z250" s="2"/>
      <c r="AA250" s="2"/>
      <c r="AC250" s="2"/>
      <c r="AD250" s="2"/>
      <c r="AE250" s="2"/>
      <c r="AG250" s="2" t="s">
        <v>197</v>
      </c>
      <c r="AH250" s="2">
        <v>2.1067</v>
      </c>
      <c r="AI250" s="2">
        <f t="shared" si="8"/>
        <v>4.1000000000002146</v>
      </c>
      <c r="AJ250" s="3"/>
      <c r="AK250" s="2" t="s">
        <v>197</v>
      </c>
      <c r="AL250" s="2">
        <v>2.1091000000000002</v>
      </c>
      <c r="AM250" s="2">
        <f t="shared" si="9"/>
        <v>4.9000000000001265</v>
      </c>
      <c r="AO250" s="3"/>
      <c r="AP250" s="3"/>
      <c r="AQ250" s="3"/>
      <c r="AS250" s="3"/>
      <c r="AT250" s="3"/>
      <c r="AU250" s="3"/>
      <c r="AW250" s="3"/>
      <c r="AX250" s="3"/>
      <c r="AY250" s="3"/>
      <c r="BA250" s="3"/>
      <c r="BB250" s="3"/>
      <c r="BC250" s="3"/>
      <c r="BD250" s="3"/>
      <c r="BE250" s="3"/>
    </row>
    <row r="251" spans="1:57" x14ac:dyDescent="0.25">
      <c r="A251" s="3"/>
      <c r="B251" s="3"/>
      <c r="C251" s="3"/>
      <c r="E251" s="3"/>
      <c r="F251" s="3"/>
      <c r="G251" s="3"/>
      <c r="I251" s="3"/>
      <c r="J251" s="3"/>
      <c r="K251" s="3"/>
      <c r="M251" s="3"/>
      <c r="N251" s="3"/>
      <c r="O251" s="3"/>
      <c r="Q251" s="3"/>
      <c r="R251" s="3"/>
      <c r="S251" s="3"/>
      <c r="T251" s="3"/>
      <c r="U251" s="3"/>
      <c r="V251" s="2"/>
      <c r="W251" s="2"/>
      <c r="Y251" s="2"/>
      <c r="Z251" s="2"/>
      <c r="AA251" s="2"/>
      <c r="AC251" s="2"/>
      <c r="AD251" s="2"/>
      <c r="AE251" s="2"/>
      <c r="AG251" s="2" t="s">
        <v>198</v>
      </c>
      <c r="AH251" s="2">
        <v>2.1107</v>
      </c>
      <c r="AI251" s="2">
        <f t="shared" si="8"/>
        <v>4.0000000000000036</v>
      </c>
      <c r="AJ251" s="3"/>
      <c r="AK251" s="2" t="s">
        <v>198</v>
      </c>
      <c r="AL251" s="2">
        <v>2.1139999999999999</v>
      </c>
      <c r="AM251" s="2">
        <f t="shared" si="9"/>
        <v>4.8999999999996824</v>
      </c>
      <c r="AO251" s="3"/>
      <c r="AP251" s="3"/>
      <c r="AQ251" s="3"/>
      <c r="AS251" s="3"/>
      <c r="AT251" s="3"/>
      <c r="AU251" s="3"/>
      <c r="AW251" s="3"/>
      <c r="AX251" s="3"/>
      <c r="AY251" s="3"/>
      <c r="BA251" s="3"/>
      <c r="BB251" s="3"/>
      <c r="BC251" s="3"/>
      <c r="BD251" s="3"/>
      <c r="BE251" s="3"/>
    </row>
    <row r="252" spans="1:57" x14ac:dyDescent="0.25">
      <c r="A252" s="3"/>
      <c r="B252" s="3"/>
      <c r="C252" s="3"/>
      <c r="E252" s="3"/>
      <c r="F252" s="3"/>
      <c r="G252" s="3"/>
      <c r="I252" s="3"/>
      <c r="J252" s="3"/>
      <c r="K252" s="3"/>
      <c r="M252" s="3"/>
      <c r="N252" s="3"/>
      <c r="O252" s="3"/>
      <c r="Q252" s="3"/>
      <c r="R252" s="3"/>
      <c r="S252" s="3"/>
      <c r="T252" s="3"/>
      <c r="U252" s="3"/>
      <c r="V252" s="2"/>
      <c r="W252" s="2"/>
      <c r="Y252" s="2"/>
      <c r="Z252" s="2"/>
      <c r="AA252" s="2"/>
      <c r="AC252" s="2"/>
      <c r="AD252" s="2"/>
      <c r="AE252" s="2"/>
      <c r="AG252" s="2" t="s">
        <v>199</v>
      </c>
      <c r="AH252" s="2">
        <v>2.1147999999999998</v>
      </c>
      <c r="AI252" s="2">
        <f t="shared" si="8"/>
        <v>4.0999999999997705</v>
      </c>
      <c r="AJ252" s="3"/>
      <c r="AK252" s="2" t="s">
        <v>199</v>
      </c>
      <c r="AL252" s="2">
        <v>2.1191</v>
      </c>
      <c r="AM252" s="2">
        <f t="shared" si="9"/>
        <v>5.1000000000001044</v>
      </c>
      <c r="AO252" s="3"/>
      <c r="AP252" s="3"/>
      <c r="AQ252" s="3"/>
      <c r="AS252" s="3"/>
      <c r="AT252" s="3"/>
      <c r="AU252" s="3"/>
      <c r="AW252" s="3"/>
      <c r="AX252" s="3"/>
      <c r="AY252" s="3"/>
      <c r="BA252" s="3"/>
      <c r="BB252" s="3"/>
      <c r="BC252" s="3"/>
      <c r="BD252" s="3"/>
      <c r="BE252" s="3"/>
    </row>
    <row r="253" spans="1:57" x14ac:dyDescent="0.25">
      <c r="A253" s="3"/>
      <c r="B253" s="3"/>
      <c r="C253" s="3"/>
      <c r="E253" s="3"/>
      <c r="F253" s="3"/>
      <c r="G253" s="3"/>
      <c r="I253" s="3"/>
      <c r="J253" s="3"/>
      <c r="K253" s="3"/>
      <c r="M253" s="3"/>
      <c r="N253" s="3"/>
      <c r="O253" s="3"/>
      <c r="Q253" s="3"/>
      <c r="R253" s="3"/>
      <c r="S253" s="3"/>
      <c r="T253" s="3"/>
      <c r="U253" s="3"/>
      <c r="V253" s="2"/>
      <c r="W253" s="2"/>
      <c r="Y253" s="2"/>
      <c r="Z253" s="2"/>
      <c r="AA253" s="2"/>
      <c r="AC253" s="2"/>
      <c r="AD253" s="2"/>
      <c r="AE253" s="2"/>
      <c r="AG253" s="2" t="s">
        <v>200</v>
      </c>
      <c r="AH253" s="2">
        <v>2.1185999999999998</v>
      </c>
      <c r="AI253" s="2">
        <f t="shared" si="8"/>
        <v>3.8000000000000256</v>
      </c>
      <c r="AJ253" s="3"/>
      <c r="AK253" s="2" t="s">
        <v>200</v>
      </c>
      <c r="AL253" s="2">
        <v>2.1240999999999999</v>
      </c>
      <c r="AM253" s="2">
        <f t="shared" si="9"/>
        <v>4.9999999999998934</v>
      </c>
      <c r="AO253" s="3"/>
      <c r="AP253" s="3"/>
      <c r="AQ253" s="3"/>
      <c r="AS253" s="3"/>
      <c r="AT253" s="3"/>
      <c r="AU253" s="3"/>
      <c r="AW253" s="3"/>
      <c r="AX253" s="3"/>
      <c r="AY253" s="3"/>
      <c r="BA253" s="3"/>
      <c r="BB253" s="3"/>
      <c r="BC253" s="3"/>
      <c r="BD253" s="3"/>
      <c r="BE253" s="3"/>
    </row>
    <row r="254" spans="1:57" x14ac:dyDescent="0.25">
      <c r="A254" s="3"/>
      <c r="B254" s="3"/>
      <c r="C254" s="3"/>
      <c r="E254" s="3"/>
      <c r="F254" s="3"/>
      <c r="G254" s="3"/>
      <c r="I254" s="3"/>
      <c r="J254" s="3"/>
      <c r="K254" s="3"/>
      <c r="M254" s="3"/>
      <c r="N254" s="3"/>
      <c r="O254" s="3"/>
      <c r="Q254" s="3"/>
      <c r="R254" s="3"/>
      <c r="S254" s="3"/>
      <c r="T254" s="3"/>
      <c r="U254" s="3"/>
      <c r="V254" s="2"/>
      <c r="W254" s="2"/>
      <c r="Y254" s="2"/>
      <c r="Z254" s="2"/>
      <c r="AA254" s="2"/>
      <c r="AC254" s="2"/>
      <c r="AD254" s="2"/>
      <c r="AE254" s="2"/>
      <c r="AG254" s="2"/>
      <c r="AH254" s="2"/>
      <c r="AI254" s="2">
        <f>AVERAGE(AI9:AI253)</f>
        <v>4.9693877551020407</v>
      </c>
      <c r="AJ254" s="3"/>
      <c r="AK254" s="2" t="s">
        <v>201</v>
      </c>
      <c r="AL254" s="2">
        <v>2.129</v>
      </c>
      <c r="AM254" s="2">
        <f t="shared" si="9"/>
        <v>4.9000000000001265</v>
      </c>
      <c r="AO254" s="3"/>
      <c r="AP254" s="3"/>
      <c r="AQ254" s="3"/>
      <c r="AS254" s="3"/>
      <c r="AT254" s="3"/>
      <c r="AU254" s="3"/>
      <c r="AW254" s="3"/>
      <c r="AX254" s="3"/>
      <c r="AY254" s="3"/>
      <c r="BA254" s="3"/>
      <c r="BB254" s="3"/>
      <c r="BC254" s="3"/>
      <c r="BD254" s="3"/>
      <c r="BE254" s="3"/>
    </row>
    <row r="255" spans="1:57" x14ac:dyDescent="0.25">
      <c r="A255" s="3"/>
      <c r="B255" s="3"/>
      <c r="C255" s="3"/>
      <c r="E255" s="3"/>
      <c r="F255" s="3"/>
      <c r="G255" s="3"/>
      <c r="I255" s="3"/>
      <c r="J255" s="3"/>
      <c r="K255" s="3"/>
      <c r="M255" s="3"/>
      <c r="N255" s="3"/>
      <c r="O255" s="3"/>
      <c r="Q255" s="3"/>
      <c r="R255" s="3"/>
      <c r="S255" s="3"/>
      <c r="T255" s="3"/>
      <c r="U255" s="3"/>
      <c r="V255" s="2"/>
      <c r="W255" s="2"/>
      <c r="Y255" s="2"/>
      <c r="Z255" s="2"/>
      <c r="AA255" s="2"/>
      <c r="AC255" s="2"/>
      <c r="AD255" s="2"/>
      <c r="AE255" s="2"/>
      <c r="AG255" s="2"/>
      <c r="AH255" s="2"/>
      <c r="AI255" s="2"/>
      <c r="AJ255" s="3"/>
      <c r="AK255" s="2" t="s">
        <v>202</v>
      </c>
      <c r="AL255" s="2">
        <v>2.1339999999999999</v>
      </c>
      <c r="AM255" s="2">
        <f t="shared" si="9"/>
        <v>4.9999999999998934</v>
      </c>
      <c r="AO255" s="3"/>
      <c r="AP255" s="3"/>
      <c r="AQ255" s="3"/>
      <c r="AS255" s="3"/>
      <c r="AT255" s="3"/>
      <c r="AU255" s="3"/>
      <c r="AW255" s="3"/>
      <c r="AX255" s="3"/>
      <c r="AY255" s="3"/>
      <c r="BA255" s="3"/>
      <c r="BB255" s="3"/>
      <c r="BC255" s="3"/>
      <c r="BD255" s="3"/>
      <c r="BE255" s="3"/>
    </row>
    <row r="256" spans="1:57" x14ac:dyDescent="0.25">
      <c r="A256" s="3"/>
      <c r="B256" s="3"/>
      <c r="C256" s="3"/>
      <c r="E256" s="3"/>
      <c r="F256" s="3"/>
      <c r="G256" s="3"/>
      <c r="I256" s="3"/>
      <c r="J256" s="3"/>
      <c r="K256" s="3"/>
      <c r="M256" s="3"/>
      <c r="N256" s="3"/>
      <c r="O256" s="3"/>
      <c r="Q256" s="3"/>
      <c r="R256" s="3"/>
      <c r="S256" s="3"/>
      <c r="T256" s="3"/>
      <c r="U256" s="3"/>
      <c r="V256" s="2"/>
      <c r="W256" s="2"/>
      <c r="Y256" s="2"/>
      <c r="Z256" s="2"/>
      <c r="AA256" s="2"/>
      <c r="AC256" s="2"/>
      <c r="AD256" s="2"/>
      <c r="AE256" s="2"/>
      <c r="AG256" s="2"/>
      <c r="AH256" s="2"/>
      <c r="AI256" s="2"/>
      <c r="AJ256" s="3"/>
      <c r="AK256" s="2" t="s">
        <v>203</v>
      </c>
      <c r="AL256" s="2">
        <v>2.1387999999999998</v>
      </c>
      <c r="AM256" s="2">
        <f t="shared" si="9"/>
        <v>4.7999999999999154</v>
      </c>
      <c r="AO256" s="3"/>
      <c r="AP256" s="3"/>
      <c r="AQ256" s="3"/>
      <c r="AS256" s="3"/>
      <c r="AT256" s="3"/>
      <c r="AU256" s="3"/>
      <c r="AW256" s="3"/>
      <c r="AX256" s="3"/>
      <c r="AY256" s="3"/>
      <c r="BA256" s="3"/>
      <c r="BB256" s="3"/>
      <c r="BC256" s="3"/>
      <c r="BD256" s="3"/>
      <c r="BE256" s="3"/>
    </row>
    <row r="257" spans="1:57" x14ac:dyDescent="0.25">
      <c r="A257" s="3"/>
      <c r="B257" s="3"/>
      <c r="C257" s="3"/>
      <c r="E257" s="3"/>
      <c r="F257" s="3"/>
      <c r="G257" s="3"/>
      <c r="I257" s="3"/>
      <c r="J257" s="3"/>
      <c r="K257" s="3"/>
      <c r="M257" s="3"/>
      <c r="N257" s="3"/>
      <c r="O257" s="3"/>
      <c r="Q257" s="3"/>
      <c r="R257" s="3"/>
      <c r="S257" s="3"/>
      <c r="T257" s="3"/>
      <c r="U257" s="3"/>
      <c r="V257" s="2"/>
      <c r="W257" s="2"/>
      <c r="Y257" s="2"/>
      <c r="Z257" s="2"/>
      <c r="AA257" s="2"/>
      <c r="AC257" s="2"/>
      <c r="AD257" s="2"/>
      <c r="AE257" s="2"/>
      <c r="AG257" s="2"/>
      <c r="AH257" s="2"/>
      <c r="AI257" s="2"/>
      <c r="AJ257" s="3"/>
      <c r="AK257" s="2" t="s">
        <v>204</v>
      </c>
      <c r="AL257" s="2">
        <v>2.1438999999999999</v>
      </c>
      <c r="AM257" s="2">
        <f t="shared" si="9"/>
        <v>5.1000000000001044</v>
      </c>
      <c r="AO257" s="3"/>
      <c r="AP257" s="3"/>
      <c r="AQ257" s="3"/>
      <c r="AS257" s="3"/>
      <c r="AT257" s="3"/>
      <c r="AU257" s="3"/>
      <c r="AW257" s="3"/>
      <c r="AX257" s="3"/>
      <c r="AY257" s="3"/>
      <c r="BA257" s="3"/>
      <c r="BB257" s="3"/>
      <c r="BC257" s="3"/>
      <c r="BD257" s="3"/>
      <c r="BE257" s="3"/>
    </row>
    <row r="258" spans="1:57" x14ac:dyDescent="0.25">
      <c r="A258" s="3"/>
      <c r="B258" s="3"/>
      <c r="C258" s="3"/>
      <c r="E258" s="3"/>
      <c r="F258" s="3"/>
      <c r="G258" s="3"/>
      <c r="I258" s="3"/>
      <c r="J258" s="3"/>
      <c r="K258" s="3"/>
      <c r="M258" s="3"/>
      <c r="N258" s="3"/>
      <c r="O258" s="3"/>
      <c r="Q258" s="3"/>
      <c r="R258" s="3"/>
      <c r="S258" s="3"/>
      <c r="T258" s="3"/>
      <c r="U258" s="3"/>
      <c r="V258" s="2"/>
      <c r="W258" s="2"/>
      <c r="Y258" s="2"/>
      <c r="Z258" s="2"/>
      <c r="AA258" s="2"/>
      <c r="AC258" s="2"/>
      <c r="AD258" s="2"/>
      <c r="AE258" s="2"/>
      <c r="AG258" s="2"/>
      <c r="AH258" s="2"/>
      <c r="AI258" s="2"/>
      <c r="AJ258" s="3"/>
      <c r="AK258" s="2" t="s">
        <v>205</v>
      </c>
      <c r="AL258" s="2">
        <v>2.1488999999999998</v>
      </c>
      <c r="AM258" s="2">
        <f t="shared" si="9"/>
        <v>4.9999999999998934</v>
      </c>
      <c r="AO258" s="3"/>
      <c r="AP258" s="3"/>
      <c r="AQ258" s="3"/>
      <c r="AS258" s="3"/>
      <c r="AT258" s="3"/>
      <c r="AU258" s="3"/>
      <c r="AW258" s="3"/>
      <c r="AX258" s="3"/>
      <c r="AY258" s="3"/>
      <c r="BA258" s="3"/>
      <c r="BB258" s="3"/>
      <c r="BC258" s="3"/>
      <c r="BD258" s="3"/>
      <c r="BE258" s="3"/>
    </row>
    <row r="259" spans="1:57" x14ac:dyDescent="0.25">
      <c r="A259" s="3"/>
      <c r="B259" s="3"/>
      <c r="C259" s="3"/>
      <c r="E259" s="3"/>
      <c r="F259" s="3"/>
      <c r="G259" s="3"/>
      <c r="I259" s="3"/>
      <c r="J259" s="3"/>
      <c r="K259" s="3"/>
      <c r="M259" s="3"/>
      <c r="N259" s="3"/>
      <c r="O259" s="3"/>
      <c r="Q259" s="3"/>
      <c r="R259" s="3"/>
      <c r="S259" s="3"/>
      <c r="T259" s="3"/>
      <c r="U259" s="3"/>
      <c r="V259" s="2"/>
      <c r="W259" s="2"/>
      <c r="Y259" s="2"/>
      <c r="Z259" s="2"/>
      <c r="AA259" s="2"/>
      <c r="AC259" s="2"/>
      <c r="AD259" s="2"/>
      <c r="AE259" s="2"/>
      <c r="AG259" s="2"/>
      <c r="AH259" s="2"/>
      <c r="AI259" s="2"/>
      <c r="AJ259" s="3"/>
      <c r="AK259" s="2" t="s">
        <v>206</v>
      </c>
      <c r="AL259" s="2">
        <v>2.1537999999999999</v>
      </c>
      <c r="AM259" s="2">
        <f t="shared" si="9"/>
        <v>4.9000000000001265</v>
      </c>
      <c r="AO259" s="3"/>
      <c r="AP259" s="3"/>
      <c r="AQ259" s="3"/>
      <c r="AS259" s="3"/>
      <c r="AT259" s="3"/>
      <c r="AU259" s="3"/>
      <c r="AW259" s="3"/>
      <c r="AX259" s="3"/>
      <c r="AY259" s="3"/>
      <c r="BA259" s="3"/>
      <c r="BB259" s="3"/>
      <c r="BC259" s="3"/>
      <c r="BD259" s="3"/>
      <c r="BE259" s="3"/>
    </row>
    <row r="260" spans="1:57" x14ac:dyDescent="0.25">
      <c r="A260" s="3"/>
      <c r="B260" s="3"/>
      <c r="C260" s="3"/>
      <c r="E260" s="3"/>
      <c r="F260" s="3"/>
      <c r="G260" s="3"/>
      <c r="I260" s="3"/>
      <c r="J260" s="3"/>
      <c r="K260" s="3"/>
      <c r="M260" s="3"/>
      <c r="N260" s="3"/>
      <c r="O260" s="3"/>
      <c r="Q260" s="3"/>
      <c r="R260" s="3"/>
      <c r="S260" s="3"/>
      <c r="T260" s="3"/>
      <c r="U260" s="3"/>
      <c r="V260" s="2"/>
      <c r="W260" s="2"/>
      <c r="Y260" s="2"/>
      <c r="Z260" s="2"/>
      <c r="AA260" s="2"/>
      <c r="AC260" s="2"/>
      <c r="AD260" s="2"/>
      <c r="AE260" s="2"/>
      <c r="AG260" s="2"/>
      <c r="AH260" s="2"/>
      <c r="AI260" s="2"/>
      <c r="AJ260" s="3"/>
      <c r="AK260" s="2" t="s">
        <v>207</v>
      </c>
      <c r="AL260" s="2">
        <v>2.1589</v>
      </c>
      <c r="AM260" s="2">
        <f t="shared" si="9"/>
        <v>5.1000000000001044</v>
      </c>
      <c r="AO260" s="3"/>
      <c r="AP260" s="3"/>
      <c r="AQ260" s="3"/>
      <c r="AS260" s="3"/>
      <c r="AT260" s="3"/>
      <c r="AU260" s="3"/>
      <c r="AW260" s="3"/>
      <c r="AX260" s="3"/>
      <c r="AY260" s="3"/>
      <c r="BA260" s="3"/>
      <c r="BB260" s="3"/>
      <c r="BC260" s="3"/>
      <c r="BD260" s="3"/>
      <c r="BE260" s="3"/>
    </row>
    <row r="261" spans="1:57" x14ac:dyDescent="0.25">
      <c r="A261" s="3"/>
      <c r="B261" s="3"/>
      <c r="C261" s="3"/>
      <c r="E261" s="3"/>
      <c r="F261" s="3"/>
      <c r="G261" s="3"/>
      <c r="I261" s="3"/>
      <c r="J261" s="3"/>
      <c r="K261" s="3"/>
      <c r="M261" s="3"/>
      <c r="N261" s="3"/>
      <c r="O261" s="3"/>
      <c r="Q261" s="3"/>
      <c r="R261" s="3"/>
      <c r="S261" s="3"/>
      <c r="T261" s="3"/>
      <c r="U261" s="3"/>
      <c r="V261" s="2"/>
      <c r="W261" s="2"/>
      <c r="Y261" s="2"/>
      <c r="Z261" s="2"/>
      <c r="AA261" s="2"/>
      <c r="AC261" s="2"/>
      <c r="AD261" s="2"/>
      <c r="AE261" s="2"/>
      <c r="AG261" s="2"/>
      <c r="AH261" s="2"/>
      <c r="AI261" s="2"/>
      <c r="AJ261" s="3"/>
      <c r="AK261" s="2" t="s">
        <v>208</v>
      </c>
      <c r="AL261" s="2">
        <v>2.1638000000000002</v>
      </c>
      <c r="AM261" s="2">
        <f t="shared" si="9"/>
        <v>4.9000000000001265</v>
      </c>
      <c r="AO261" s="3"/>
      <c r="AP261" s="3"/>
      <c r="AQ261" s="3"/>
      <c r="AS261" s="3"/>
      <c r="AT261" s="3"/>
      <c r="AU261" s="3"/>
      <c r="AW261" s="3"/>
      <c r="AX261" s="3"/>
      <c r="AY261" s="3"/>
      <c r="BA261" s="3"/>
      <c r="BB261" s="3"/>
      <c r="BC261" s="3"/>
      <c r="BD261" s="3"/>
      <c r="BE261" s="3"/>
    </row>
    <row r="262" spans="1:57" x14ac:dyDescent="0.25">
      <c r="A262" s="3"/>
      <c r="B262" s="3"/>
      <c r="C262" s="3"/>
      <c r="E262" s="3"/>
      <c r="F262" s="3"/>
      <c r="G262" s="3"/>
      <c r="I262" s="3"/>
      <c r="J262" s="3"/>
      <c r="K262" s="3"/>
      <c r="M262" s="3"/>
      <c r="N262" s="3"/>
      <c r="O262" s="3"/>
      <c r="Q262" s="3"/>
      <c r="R262" s="3"/>
      <c r="S262" s="3"/>
      <c r="T262" s="3"/>
      <c r="U262" s="3"/>
      <c r="V262" s="2"/>
      <c r="W262" s="2"/>
      <c r="Y262" s="2"/>
      <c r="Z262" s="2"/>
      <c r="AA262" s="2"/>
      <c r="AC262" s="2"/>
      <c r="AD262" s="2"/>
      <c r="AE262" s="2"/>
      <c r="AG262" s="2"/>
      <c r="AH262" s="2"/>
      <c r="AI262" s="2"/>
      <c r="AJ262" s="3"/>
      <c r="AK262" s="2" t="s">
        <v>209</v>
      </c>
      <c r="AL262" s="2">
        <v>2.1686999999999999</v>
      </c>
      <c r="AM262" s="2">
        <f t="shared" si="9"/>
        <v>4.8999999999996824</v>
      </c>
      <c r="AO262" s="3"/>
      <c r="AP262" s="3"/>
      <c r="AQ262" s="3"/>
      <c r="AS262" s="3"/>
      <c r="AT262" s="3"/>
      <c r="AU262" s="3"/>
      <c r="AW262" s="3"/>
      <c r="AX262" s="3"/>
      <c r="AY262" s="3"/>
      <c r="BA262" s="3"/>
      <c r="BB262" s="3"/>
      <c r="BC262" s="3"/>
      <c r="BD262" s="3"/>
      <c r="BE262" s="3"/>
    </row>
    <row r="263" spans="1:57" x14ac:dyDescent="0.25">
      <c r="A263" s="3"/>
      <c r="B263" s="3"/>
      <c r="C263" s="3"/>
      <c r="E263" s="3"/>
      <c r="F263" s="3"/>
      <c r="G263" s="3"/>
      <c r="I263" s="3"/>
      <c r="J263" s="3"/>
      <c r="K263" s="3"/>
      <c r="M263" s="3"/>
      <c r="N263" s="3"/>
      <c r="O263" s="3"/>
      <c r="Q263" s="3"/>
      <c r="R263" s="3"/>
      <c r="S263" s="3"/>
      <c r="T263" s="3"/>
      <c r="U263" s="3"/>
      <c r="V263" s="2"/>
      <c r="W263" s="2"/>
      <c r="Y263" s="2"/>
      <c r="Z263" s="2"/>
      <c r="AA263" s="2"/>
      <c r="AC263" s="2"/>
      <c r="AD263" s="2"/>
      <c r="AE263" s="2"/>
      <c r="AG263" s="2"/>
      <c r="AH263" s="2"/>
      <c r="AI263" s="2"/>
      <c r="AJ263" s="3"/>
      <c r="AK263" s="2" t="s">
        <v>210</v>
      </c>
      <c r="AL263" s="2">
        <v>2.1737000000000002</v>
      </c>
      <c r="AM263" s="2">
        <f t="shared" si="9"/>
        <v>5.0000000000003375</v>
      </c>
      <c r="AO263" s="3"/>
      <c r="AP263" s="3"/>
      <c r="AQ263" s="3"/>
      <c r="AS263" s="3"/>
      <c r="AT263" s="3"/>
      <c r="AU263" s="3"/>
      <c r="AW263" s="3"/>
      <c r="AX263" s="3"/>
      <c r="AY263" s="3"/>
      <c r="BA263" s="3"/>
      <c r="BB263" s="3"/>
      <c r="BC263" s="3"/>
      <c r="BD263" s="3"/>
      <c r="BE263" s="3"/>
    </row>
    <row r="264" spans="1:57" x14ac:dyDescent="0.25">
      <c r="A264" s="3"/>
      <c r="B264" s="3"/>
      <c r="C264" s="3"/>
      <c r="E264" s="3"/>
      <c r="F264" s="3"/>
      <c r="G264" s="3"/>
      <c r="I264" s="3"/>
      <c r="J264" s="3"/>
      <c r="K264" s="3"/>
      <c r="M264" s="3"/>
      <c r="N264" s="3"/>
      <c r="O264" s="3"/>
      <c r="Q264" s="3"/>
      <c r="R264" s="3"/>
      <c r="S264" s="3"/>
      <c r="T264" s="3"/>
      <c r="U264" s="3"/>
      <c r="V264" s="2"/>
      <c r="W264" s="2"/>
      <c r="Y264" s="2"/>
      <c r="Z264" s="2"/>
      <c r="AA264" s="2"/>
      <c r="AC264" s="2"/>
      <c r="AD264" s="2"/>
      <c r="AE264" s="2"/>
      <c r="AG264" s="2"/>
      <c r="AH264" s="2"/>
      <c r="AI264" s="2"/>
      <c r="AJ264" s="3"/>
      <c r="AK264" s="2"/>
      <c r="AL264" s="2"/>
      <c r="AM264" s="2">
        <f>AVERAGE(AM9:AM263)</f>
        <v>4.991372549019605</v>
      </c>
      <c r="AO264" s="3"/>
      <c r="AP264" s="3"/>
      <c r="AQ264" s="3"/>
      <c r="AS264" s="3"/>
      <c r="AT264" s="3"/>
      <c r="AU264" s="3"/>
      <c r="AW264" s="3"/>
      <c r="AX264" s="3"/>
      <c r="AY264" s="3"/>
      <c r="BA264" s="3"/>
      <c r="BB264" s="3"/>
      <c r="BC264" s="3"/>
      <c r="BD264" s="3"/>
      <c r="BE264" s="3"/>
    </row>
    <row r="265" spans="1:57" x14ac:dyDescent="0.25">
      <c r="A265" s="3"/>
      <c r="B265" s="3"/>
      <c r="C265" s="3"/>
      <c r="E265" s="3"/>
      <c r="F265" s="3"/>
      <c r="G265" s="3"/>
      <c r="I265" s="3"/>
      <c r="J265" s="3"/>
      <c r="K265" s="3"/>
      <c r="M265" s="3"/>
      <c r="N265" s="3"/>
      <c r="O265" s="3"/>
      <c r="Q265" s="3"/>
      <c r="R265" s="3"/>
      <c r="S265" s="3"/>
      <c r="T265" s="3"/>
      <c r="U265" s="3"/>
      <c r="V265" s="2"/>
      <c r="W265" s="2"/>
      <c r="Y265" s="2"/>
      <c r="Z265" s="2"/>
      <c r="AA265" s="2"/>
    </row>
    <row r="266" spans="1:57" x14ac:dyDescent="0.25">
      <c r="A266" s="3"/>
      <c r="B266" s="3"/>
      <c r="C266" s="3"/>
      <c r="E266" s="3"/>
      <c r="F266" s="3"/>
      <c r="G266" s="3"/>
      <c r="I266" s="3"/>
      <c r="J266" s="3"/>
      <c r="K266" s="3"/>
      <c r="M266" s="3"/>
      <c r="N266" s="3"/>
      <c r="O266" s="3"/>
      <c r="Q266" s="3"/>
      <c r="R266" s="3"/>
      <c r="S266" s="3"/>
      <c r="T266" s="3"/>
      <c r="U266" s="3"/>
      <c r="V266" s="2"/>
      <c r="W266" s="2"/>
      <c r="Y266" s="2"/>
      <c r="Z266" s="2"/>
      <c r="AA266" s="2"/>
    </row>
    <row r="267" spans="1:57" x14ac:dyDescent="0.25">
      <c r="A267" s="3"/>
      <c r="B267" s="3"/>
      <c r="C267" s="3"/>
      <c r="E267" s="3"/>
      <c r="F267" s="3"/>
      <c r="G267" s="3"/>
      <c r="I267" s="3"/>
      <c r="J267" s="3"/>
      <c r="K267" s="3"/>
      <c r="M267" s="3"/>
      <c r="N267" s="3"/>
      <c r="O267" s="3"/>
      <c r="Q267" s="3"/>
      <c r="R267" s="3"/>
      <c r="S267" s="3"/>
      <c r="T267" s="3"/>
      <c r="U267" s="3"/>
      <c r="V267" s="2"/>
      <c r="W267" s="2"/>
      <c r="Y267" s="2"/>
      <c r="Z267" s="2"/>
      <c r="AA267" s="2"/>
    </row>
    <row r="268" spans="1:57" x14ac:dyDescent="0.25">
      <c r="A268" s="3"/>
      <c r="B268" s="3"/>
      <c r="C268" s="3"/>
      <c r="E268" s="3"/>
      <c r="F268" s="3"/>
      <c r="G268" s="3"/>
      <c r="I268" s="3"/>
      <c r="J268" s="3"/>
      <c r="K268" s="3"/>
      <c r="M268" s="3"/>
      <c r="N268" s="3"/>
      <c r="O268" s="3"/>
      <c r="Q268" s="3"/>
      <c r="R268" s="3"/>
      <c r="S268" s="3"/>
      <c r="T268" s="3"/>
      <c r="U268" s="3"/>
      <c r="V268" s="2"/>
      <c r="W268" s="2"/>
      <c r="Y268" s="2"/>
      <c r="Z268" s="2"/>
      <c r="AA268" s="2"/>
    </row>
    <row r="269" spans="1:57" x14ac:dyDescent="0.25">
      <c r="A269" s="3"/>
      <c r="B269" s="3"/>
      <c r="C269" s="3"/>
      <c r="E269" s="3"/>
      <c r="F269" s="3"/>
      <c r="G269" s="3"/>
      <c r="I269" s="3"/>
      <c r="J269" s="3"/>
      <c r="K269" s="3"/>
      <c r="M269" s="3"/>
      <c r="N269" s="3"/>
      <c r="O269" s="3"/>
      <c r="Q269" s="3"/>
      <c r="R269" s="3"/>
      <c r="S269" s="3"/>
      <c r="T269" s="3"/>
      <c r="U269" s="3"/>
      <c r="V269" s="2"/>
      <c r="W269" s="2"/>
      <c r="Y269" s="2"/>
      <c r="Z269" s="2"/>
      <c r="AA269" s="2"/>
    </row>
    <row r="270" spans="1:57" x14ac:dyDescent="0.25">
      <c r="A270" s="3"/>
      <c r="B270" s="3"/>
      <c r="C270" s="3"/>
      <c r="E270" s="3"/>
      <c r="F270" s="3"/>
      <c r="G270" s="3"/>
      <c r="I270" s="3"/>
      <c r="J270" s="3"/>
      <c r="K270" s="3"/>
      <c r="M270" s="3"/>
      <c r="N270" s="3"/>
      <c r="O270" s="3"/>
      <c r="Q270" s="3"/>
      <c r="R270" s="3"/>
      <c r="S270" s="3"/>
      <c r="T270" s="3"/>
      <c r="U270" s="3"/>
      <c r="V270" s="2"/>
      <c r="W270" s="2"/>
      <c r="Y270" s="2"/>
      <c r="Z270" s="2"/>
      <c r="AA270" s="2"/>
    </row>
    <row r="271" spans="1:57" x14ac:dyDescent="0.25">
      <c r="A271" s="3"/>
      <c r="B271" s="3"/>
      <c r="C271" s="3"/>
      <c r="E271" s="3"/>
      <c r="F271" s="3"/>
      <c r="G271" s="3"/>
      <c r="I271" s="3"/>
      <c r="J271" s="3"/>
      <c r="K271" s="3"/>
      <c r="M271" s="3"/>
      <c r="N271" s="3"/>
      <c r="O271" s="3"/>
      <c r="Q271" s="3"/>
      <c r="R271" s="3"/>
      <c r="S271" s="3"/>
      <c r="T271" s="3"/>
      <c r="U271" s="3"/>
      <c r="V271" s="2"/>
      <c r="W271" s="2"/>
      <c r="Y271" s="2"/>
      <c r="Z271" s="2"/>
      <c r="AA271" s="2"/>
    </row>
    <row r="272" spans="1:57" x14ac:dyDescent="0.25">
      <c r="A272" s="3"/>
      <c r="B272" s="3"/>
      <c r="C272" s="3"/>
      <c r="E272" s="3"/>
      <c r="F272" s="3"/>
      <c r="G272" s="3"/>
      <c r="I272" s="3"/>
      <c r="J272" s="3"/>
      <c r="K272" s="3"/>
      <c r="M272" s="3"/>
      <c r="N272" s="3"/>
      <c r="O272" s="3"/>
      <c r="Q272" s="3"/>
      <c r="R272" s="3"/>
      <c r="S272" s="3"/>
      <c r="T272" s="3"/>
      <c r="U272" s="3"/>
      <c r="V272" s="2"/>
      <c r="W272" s="2"/>
      <c r="Y272" s="2"/>
      <c r="Z272" s="2"/>
      <c r="AA272" s="2"/>
    </row>
    <row r="273" spans="1:27" x14ac:dyDescent="0.25">
      <c r="A273" s="3"/>
      <c r="B273" s="3"/>
      <c r="C273" s="3"/>
      <c r="E273" s="3"/>
      <c r="F273" s="3"/>
      <c r="G273" s="3"/>
      <c r="I273" s="3"/>
      <c r="J273" s="3"/>
      <c r="K273" s="3"/>
      <c r="M273" s="3"/>
      <c r="N273" s="3"/>
      <c r="O273" s="3"/>
      <c r="Q273" s="3"/>
      <c r="R273" s="3"/>
      <c r="S273" s="3"/>
      <c r="T273" s="3"/>
      <c r="U273" s="3"/>
      <c r="V273" s="2"/>
      <c r="W273" s="2"/>
      <c r="Y273" s="2"/>
      <c r="Z273" s="2"/>
      <c r="AA273" s="2"/>
    </row>
    <row r="274" spans="1:27" x14ac:dyDescent="0.25">
      <c r="A274" s="3"/>
      <c r="B274" s="3"/>
      <c r="C274" s="3"/>
      <c r="E274" s="3"/>
      <c r="F274" s="3"/>
      <c r="G274" s="3"/>
      <c r="I274" s="3"/>
      <c r="J274" s="3"/>
      <c r="K274" s="3"/>
      <c r="M274" s="3"/>
      <c r="N274" s="3"/>
      <c r="O274" s="3"/>
      <c r="Q274" s="3"/>
      <c r="R274" s="3"/>
      <c r="S274" s="3"/>
      <c r="T274" s="3"/>
      <c r="U274" s="3"/>
      <c r="V274" s="2"/>
      <c r="W274" s="2"/>
      <c r="Y274" s="2"/>
      <c r="Z274" s="2"/>
      <c r="AA274" s="2"/>
    </row>
    <row r="275" spans="1:27" x14ac:dyDescent="0.25">
      <c r="A275" s="3"/>
      <c r="B275" s="3"/>
      <c r="C275" s="3"/>
      <c r="E275" s="3"/>
      <c r="F275" s="3"/>
      <c r="G275" s="3"/>
      <c r="I275" s="3"/>
      <c r="J275" s="3"/>
      <c r="K275" s="3"/>
      <c r="M275" s="3"/>
      <c r="N275" s="3"/>
      <c r="O275" s="3"/>
      <c r="Q275" s="3"/>
      <c r="R275" s="3"/>
      <c r="S275" s="3"/>
      <c r="T275" s="3"/>
      <c r="U275" s="3"/>
      <c r="V275" s="2"/>
      <c r="W275" s="2"/>
      <c r="Y275" s="2"/>
      <c r="Z275" s="2"/>
      <c r="AA275" s="2"/>
    </row>
    <row r="276" spans="1:27" x14ac:dyDescent="0.25">
      <c r="A276" s="3"/>
      <c r="B276" s="3"/>
      <c r="C276" s="3"/>
      <c r="E276" s="3"/>
      <c r="F276" s="3"/>
      <c r="G276" s="3"/>
      <c r="I276" s="3"/>
      <c r="J276" s="3"/>
      <c r="K276" s="3"/>
      <c r="M276" s="3"/>
      <c r="N276" s="3"/>
      <c r="O276" s="3"/>
      <c r="Q276" s="3"/>
      <c r="R276" s="3"/>
      <c r="S276" s="3"/>
      <c r="T276" s="3"/>
      <c r="U276" s="3"/>
      <c r="V276" s="2"/>
      <c r="W276" s="2"/>
      <c r="Y276" s="2"/>
      <c r="Z276" s="2"/>
      <c r="AA276" s="2"/>
    </row>
    <row r="277" spans="1:27" x14ac:dyDescent="0.25">
      <c r="A277" s="3"/>
      <c r="B277" s="3"/>
      <c r="C277" s="3"/>
      <c r="E277" s="3"/>
      <c r="F277" s="3"/>
      <c r="G277" s="3"/>
      <c r="I277" s="3"/>
      <c r="J277" s="3"/>
      <c r="K277" s="3"/>
      <c r="M277" s="3"/>
      <c r="N277" s="3"/>
      <c r="O277" s="3"/>
      <c r="Q277" s="3"/>
      <c r="R277" s="3"/>
      <c r="S277" s="3"/>
      <c r="T277" s="3"/>
      <c r="U277" s="3"/>
      <c r="V277" s="2"/>
      <c r="W277" s="2"/>
      <c r="Y277" s="2"/>
      <c r="Z277" s="2"/>
      <c r="AA277" s="2"/>
    </row>
    <row r="278" spans="1:27" x14ac:dyDescent="0.25">
      <c r="A278" s="3"/>
      <c r="B278" s="3"/>
      <c r="C278" s="3"/>
      <c r="E278" s="3"/>
      <c r="F278" s="3"/>
      <c r="G278" s="3"/>
      <c r="I278" s="3"/>
      <c r="J278" s="3"/>
      <c r="K278" s="3"/>
      <c r="M278" s="3"/>
      <c r="N278" s="3"/>
      <c r="O278" s="3"/>
      <c r="Q278" s="3"/>
      <c r="R278" s="3"/>
      <c r="S278" s="3"/>
      <c r="T278" s="3"/>
      <c r="U278" s="3"/>
      <c r="V278" s="2"/>
      <c r="W278" s="2"/>
      <c r="Y278" s="2"/>
      <c r="Z278" s="2"/>
      <c r="AA278" s="2"/>
    </row>
    <row r="279" spans="1:27" x14ac:dyDescent="0.25">
      <c r="A279" s="3"/>
      <c r="B279" s="3"/>
      <c r="C279" s="3"/>
      <c r="E279" s="3"/>
      <c r="F279" s="3"/>
      <c r="G279" s="3"/>
      <c r="I279" s="3"/>
      <c r="J279" s="3"/>
      <c r="K279" s="3"/>
      <c r="M279" s="3"/>
      <c r="N279" s="3"/>
      <c r="O279" s="3"/>
      <c r="Q279" s="3"/>
      <c r="R279" s="3"/>
      <c r="S279" s="3"/>
      <c r="T279" s="3"/>
      <c r="U279" s="3"/>
      <c r="V279" s="2"/>
      <c r="W279" s="2"/>
      <c r="Y279" s="2"/>
      <c r="Z279" s="2"/>
      <c r="AA279" s="2"/>
    </row>
    <row r="280" spans="1:27" x14ac:dyDescent="0.25">
      <c r="A280" s="3"/>
      <c r="B280" s="3"/>
      <c r="C280" s="3"/>
      <c r="E280" s="3"/>
      <c r="F280" s="3"/>
      <c r="G280" s="3"/>
      <c r="I280" s="3"/>
      <c r="J280" s="3"/>
      <c r="K280" s="3"/>
      <c r="M280" s="3"/>
      <c r="N280" s="3"/>
      <c r="O280" s="3"/>
      <c r="Q280" s="3"/>
      <c r="R280" s="3"/>
      <c r="S280" s="3"/>
      <c r="T280" s="3"/>
      <c r="U280" s="3"/>
      <c r="V280" s="2"/>
      <c r="W280" s="2"/>
      <c r="Y280" s="2"/>
      <c r="Z280" s="2"/>
      <c r="AA280" s="2"/>
    </row>
    <row r="281" spans="1:27" x14ac:dyDescent="0.25">
      <c r="A281" s="3"/>
      <c r="B281" s="3"/>
      <c r="C281" s="3"/>
      <c r="E281" s="3"/>
      <c r="F281" s="3"/>
      <c r="G281" s="3"/>
      <c r="I281" s="3"/>
      <c r="J281" s="3"/>
      <c r="K281" s="3"/>
      <c r="M281" s="3"/>
      <c r="N281" s="3"/>
      <c r="O281" s="3"/>
      <c r="Q281" s="3"/>
      <c r="R281" s="3"/>
      <c r="S281" s="3"/>
      <c r="T281" s="3"/>
      <c r="U281" s="3"/>
      <c r="V281" s="2"/>
      <c r="W281" s="2"/>
      <c r="Y281" s="2"/>
      <c r="Z281" s="2"/>
      <c r="AA281" s="2"/>
    </row>
    <row r="282" spans="1:27" x14ac:dyDescent="0.25">
      <c r="A282" s="3"/>
      <c r="B282" s="3"/>
      <c r="C282" s="3"/>
      <c r="E282" s="3"/>
      <c r="F282" s="3"/>
      <c r="G282" s="3"/>
      <c r="I282" s="3"/>
      <c r="J282" s="3"/>
      <c r="K282" s="3"/>
      <c r="M282" s="3"/>
      <c r="N282" s="3"/>
      <c r="O282" s="3"/>
      <c r="Q282" s="3"/>
      <c r="R282" s="3"/>
      <c r="S282" s="3"/>
      <c r="T282" s="3"/>
      <c r="U282" s="3"/>
      <c r="V282" s="2"/>
      <c r="W282" s="2"/>
      <c r="Y282" s="2"/>
      <c r="Z282" s="2"/>
      <c r="AA282" s="2"/>
    </row>
    <row r="283" spans="1:27" x14ac:dyDescent="0.25">
      <c r="A283" s="3"/>
      <c r="B283" s="3"/>
      <c r="C283" s="3"/>
      <c r="E283" s="3"/>
      <c r="F283" s="3"/>
      <c r="G283" s="3"/>
      <c r="I283" s="3"/>
      <c r="J283" s="3"/>
      <c r="K283" s="3"/>
      <c r="M283" s="3"/>
      <c r="N283" s="3"/>
      <c r="O283" s="3"/>
      <c r="Q283" s="3"/>
      <c r="R283" s="3"/>
      <c r="S283" s="3"/>
      <c r="T283" s="3"/>
      <c r="U283" s="3"/>
      <c r="V283" s="2"/>
      <c r="W283" s="2"/>
      <c r="Y283" s="2"/>
      <c r="Z283" s="2"/>
      <c r="AA283" s="2"/>
    </row>
    <row r="284" spans="1:27" x14ac:dyDescent="0.25">
      <c r="A284" s="3"/>
      <c r="B284" s="3"/>
      <c r="C284" s="3"/>
      <c r="E284" s="3"/>
      <c r="F284" s="3"/>
      <c r="G284" s="3"/>
      <c r="I284" s="3"/>
      <c r="J284" s="3"/>
      <c r="K284" s="3"/>
      <c r="M284" s="3"/>
      <c r="N284" s="3"/>
      <c r="O284" s="3"/>
      <c r="Q284" s="3"/>
      <c r="R284" s="3"/>
      <c r="S284" s="3"/>
      <c r="T284" s="3"/>
      <c r="U284" s="3"/>
      <c r="V284" s="2"/>
      <c r="W284" s="2"/>
      <c r="Y284" s="2"/>
      <c r="Z284" s="2"/>
      <c r="AA284" s="2"/>
    </row>
    <row r="285" spans="1:27" x14ac:dyDescent="0.25">
      <c r="A285" s="3"/>
      <c r="B285" s="3"/>
      <c r="C285" s="3"/>
      <c r="E285" s="3"/>
      <c r="F285" s="3"/>
      <c r="G285" s="3"/>
      <c r="I285" s="3"/>
      <c r="J285" s="3"/>
      <c r="K285" s="3"/>
      <c r="M285" s="3"/>
      <c r="N285" s="3"/>
      <c r="O285" s="3"/>
      <c r="Q285" s="3"/>
      <c r="R285" s="3"/>
      <c r="S285" s="3"/>
      <c r="T285" s="3"/>
      <c r="U285" s="3"/>
      <c r="V285" s="2"/>
      <c r="W285" s="2"/>
      <c r="Y285" s="2"/>
      <c r="Z285" s="2"/>
      <c r="AA285" s="2"/>
    </row>
    <row r="286" spans="1:27" x14ac:dyDescent="0.25">
      <c r="A286" s="3"/>
      <c r="B286" s="3"/>
      <c r="C286" s="3"/>
      <c r="E286" s="3"/>
      <c r="F286" s="3"/>
      <c r="G286" s="3"/>
      <c r="I286" s="3"/>
      <c r="J286" s="3"/>
      <c r="K286" s="3"/>
      <c r="M286" s="3"/>
      <c r="N286" s="3"/>
      <c r="O286" s="3"/>
      <c r="Q286" s="3"/>
      <c r="R286" s="3"/>
      <c r="S286" s="3"/>
      <c r="T286" s="3"/>
      <c r="U286" s="3"/>
      <c r="V286" s="2"/>
      <c r="W286" s="2"/>
      <c r="Y286" s="2"/>
      <c r="Z286" s="2"/>
      <c r="AA286" s="2"/>
    </row>
    <row r="287" spans="1:27" x14ac:dyDescent="0.25">
      <c r="A287" s="3"/>
      <c r="B287" s="3"/>
      <c r="C287" s="3"/>
      <c r="E287" s="3"/>
      <c r="F287" s="3"/>
      <c r="G287" s="3"/>
      <c r="I287" s="3"/>
      <c r="J287" s="3"/>
      <c r="K287" s="3"/>
      <c r="M287" s="3"/>
      <c r="N287" s="3"/>
      <c r="O287" s="3"/>
      <c r="Q287" s="3"/>
      <c r="R287" s="3"/>
      <c r="S287" s="3"/>
      <c r="T287" s="3"/>
      <c r="U287" s="3"/>
      <c r="V287" s="2"/>
      <c r="W287" s="2"/>
      <c r="Y287" s="2"/>
      <c r="Z287" s="2"/>
      <c r="AA287" s="2"/>
    </row>
    <row r="288" spans="1:27" x14ac:dyDescent="0.25">
      <c r="A288" s="3"/>
      <c r="B288" s="3"/>
      <c r="C288" s="3"/>
      <c r="E288" s="3"/>
      <c r="F288" s="3"/>
      <c r="G288" s="3"/>
      <c r="I288" s="3"/>
      <c r="J288" s="3"/>
      <c r="K288" s="3"/>
      <c r="M288" s="3"/>
      <c r="N288" s="3"/>
      <c r="O288" s="3"/>
      <c r="Q288" s="3"/>
      <c r="R288" s="3"/>
      <c r="S288" s="3"/>
      <c r="T288" s="3"/>
      <c r="U288" s="3"/>
      <c r="V288" s="2"/>
      <c r="W288" s="2"/>
      <c r="Y288" s="2"/>
      <c r="Z288" s="2"/>
      <c r="AA288" s="2"/>
    </row>
    <row r="289" spans="1:27" x14ac:dyDescent="0.25">
      <c r="A289" s="3"/>
      <c r="B289" s="3"/>
      <c r="C289" s="3"/>
      <c r="E289" s="3"/>
      <c r="F289" s="3"/>
      <c r="G289" s="3"/>
      <c r="I289" s="3"/>
      <c r="J289" s="3"/>
      <c r="K289" s="3"/>
      <c r="M289" s="3"/>
      <c r="N289" s="3"/>
      <c r="O289" s="3"/>
      <c r="Q289" s="3"/>
      <c r="R289" s="3"/>
      <c r="S289" s="3"/>
      <c r="T289" s="3"/>
      <c r="U289" s="3"/>
      <c r="V289" s="2"/>
      <c r="W289" s="2"/>
      <c r="Y289" s="2"/>
      <c r="Z289" s="2"/>
      <c r="AA289" s="2"/>
    </row>
    <row r="290" spans="1:27" x14ac:dyDescent="0.25">
      <c r="A290" s="3"/>
      <c r="B290" s="3"/>
      <c r="C290" s="3"/>
      <c r="E290" s="3"/>
      <c r="F290" s="3"/>
      <c r="G290" s="3"/>
      <c r="I290" s="3"/>
      <c r="J290" s="3"/>
      <c r="K290" s="3"/>
      <c r="M290" s="3"/>
      <c r="N290" s="3"/>
      <c r="O290" s="3"/>
      <c r="Q290" s="3"/>
      <c r="R290" s="3"/>
      <c r="S290" s="3"/>
      <c r="T290" s="3"/>
      <c r="U290" s="3"/>
      <c r="V290" s="2"/>
      <c r="W290" s="2"/>
      <c r="Y290" s="2"/>
      <c r="Z290" s="2"/>
      <c r="AA290" s="2"/>
    </row>
    <row r="291" spans="1:27" x14ac:dyDescent="0.25">
      <c r="A291" s="3"/>
      <c r="B291" s="3"/>
      <c r="C291" s="3"/>
      <c r="E291" s="3"/>
      <c r="F291" s="3"/>
      <c r="G291" s="3"/>
      <c r="I291" s="3"/>
      <c r="J291" s="3"/>
      <c r="K291" s="3"/>
      <c r="M291" s="3"/>
      <c r="N291" s="3"/>
      <c r="O291" s="3"/>
      <c r="Q291" s="3"/>
      <c r="R291" s="3"/>
      <c r="S291" s="3"/>
      <c r="T291" s="3"/>
      <c r="U291" s="3"/>
      <c r="V291" s="2"/>
      <c r="W291" s="2"/>
      <c r="Y291" s="2"/>
      <c r="Z291" s="2"/>
      <c r="AA291" s="2"/>
    </row>
    <row r="292" spans="1:27" x14ac:dyDescent="0.25">
      <c r="A292" s="3"/>
      <c r="B292" s="3"/>
      <c r="C292" s="3"/>
      <c r="E292" s="3"/>
      <c r="F292" s="3"/>
      <c r="G292" s="3"/>
      <c r="I292" s="3"/>
      <c r="J292" s="3"/>
      <c r="K292" s="3"/>
      <c r="M292" s="3"/>
      <c r="N292" s="3"/>
      <c r="O292" s="3"/>
      <c r="Q292" s="3"/>
      <c r="R292" s="3"/>
      <c r="S292" s="3"/>
      <c r="T292" s="3"/>
      <c r="U292" s="3"/>
      <c r="V292" s="2"/>
      <c r="W292" s="2"/>
      <c r="Y292" s="2"/>
      <c r="Z292" s="2"/>
      <c r="AA292" s="2"/>
    </row>
    <row r="293" spans="1:27" x14ac:dyDescent="0.25">
      <c r="A293" s="3"/>
      <c r="B293" s="3"/>
      <c r="C293" s="3"/>
      <c r="E293" s="3"/>
      <c r="F293" s="3"/>
      <c r="G293" s="3"/>
      <c r="I293" s="3"/>
      <c r="J293" s="3"/>
      <c r="K293" s="3"/>
      <c r="M293" s="3"/>
      <c r="N293" s="3"/>
      <c r="O293" s="3"/>
      <c r="Q293" s="3"/>
      <c r="R293" s="3"/>
      <c r="S293" s="3"/>
      <c r="T293" s="3"/>
      <c r="U293" s="3"/>
      <c r="V293" s="2"/>
      <c r="W293" s="2"/>
      <c r="Y293" s="2"/>
      <c r="Z293" s="2"/>
      <c r="AA293" s="2"/>
    </row>
    <row r="294" spans="1:27" x14ac:dyDescent="0.25">
      <c r="A294" s="3"/>
      <c r="B294" s="3"/>
      <c r="C294" s="3"/>
      <c r="E294" s="3"/>
      <c r="F294" s="3"/>
      <c r="G294" s="3"/>
      <c r="I294" s="3"/>
      <c r="J294" s="3"/>
      <c r="K294" s="3"/>
      <c r="M294" s="3"/>
      <c r="N294" s="3"/>
      <c r="O294" s="3"/>
      <c r="Q294" s="3"/>
      <c r="R294" s="3"/>
      <c r="S294" s="3"/>
      <c r="T294" s="3"/>
      <c r="U294" s="3"/>
      <c r="V294" s="2"/>
      <c r="W294" s="2"/>
      <c r="Y294" s="2"/>
      <c r="Z294" s="2"/>
      <c r="AA294" s="2"/>
    </row>
    <row r="295" spans="1:27" x14ac:dyDescent="0.25">
      <c r="A295" s="3"/>
      <c r="B295" s="3"/>
      <c r="C295" s="3"/>
      <c r="E295" s="3"/>
      <c r="F295" s="3"/>
      <c r="G295" s="3"/>
      <c r="I295" s="3"/>
      <c r="J295" s="3"/>
      <c r="K295" s="3"/>
      <c r="M295" s="3"/>
      <c r="N295" s="3"/>
      <c r="O295" s="3"/>
      <c r="Q295" s="3"/>
      <c r="R295" s="3"/>
      <c r="S295" s="3"/>
      <c r="T295" s="3"/>
      <c r="U295" s="3"/>
      <c r="V295" s="2"/>
      <c r="W295" s="2"/>
      <c r="Y295" s="2"/>
      <c r="Z295" s="2"/>
      <c r="AA295" s="2"/>
    </row>
    <row r="296" spans="1:27" x14ac:dyDescent="0.25">
      <c r="A296" s="3"/>
      <c r="B296" s="3"/>
      <c r="C296" s="3"/>
      <c r="E296" s="3"/>
      <c r="F296" s="3"/>
      <c r="G296" s="3"/>
      <c r="I296" s="3"/>
      <c r="J296" s="3"/>
      <c r="K296" s="3"/>
      <c r="M296" s="3"/>
      <c r="N296" s="3"/>
      <c r="O296" s="3"/>
      <c r="Q296" s="3"/>
      <c r="R296" s="3"/>
      <c r="S296" s="3"/>
      <c r="T296" s="3"/>
      <c r="U296" s="3"/>
      <c r="V296" s="2"/>
      <c r="W296" s="2"/>
      <c r="Y296" s="2"/>
      <c r="Z296" s="2"/>
      <c r="AA296" s="2"/>
    </row>
    <row r="297" spans="1:27" x14ac:dyDescent="0.25">
      <c r="A297" s="3"/>
      <c r="B297" s="3"/>
      <c r="C297" s="3"/>
      <c r="E297" s="3"/>
      <c r="F297" s="3"/>
      <c r="G297" s="3"/>
      <c r="I297" s="3"/>
      <c r="J297" s="3"/>
      <c r="K297" s="3"/>
      <c r="M297" s="3"/>
      <c r="N297" s="3"/>
      <c r="O297" s="3"/>
      <c r="Q297" s="3"/>
      <c r="R297" s="3"/>
      <c r="S297" s="3"/>
      <c r="T297" s="3"/>
      <c r="U297" s="3"/>
      <c r="V297" s="2"/>
      <c r="W297" s="2"/>
      <c r="Y297" s="2"/>
      <c r="Z297" s="2"/>
      <c r="AA297" s="2"/>
    </row>
    <row r="298" spans="1:27" x14ac:dyDescent="0.25">
      <c r="A298" s="3"/>
      <c r="B298" s="3"/>
      <c r="C298" s="3"/>
      <c r="E298" s="3"/>
      <c r="F298" s="3"/>
      <c r="G298" s="3"/>
      <c r="I298" s="3"/>
      <c r="J298" s="3"/>
      <c r="K298" s="3"/>
      <c r="M298" s="3"/>
      <c r="N298" s="3"/>
      <c r="O298" s="3"/>
      <c r="Q298" s="3"/>
      <c r="R298" s="3"/>
      <c r="S298" s="3"/>
      <c r="T298" s="3"/>
      <c r="U298" s="3"/>
      <c r="V298" s="2"/>
      <c r="W298" s="2"/>
      <c r="Y298" s="2"/>
      <c r="Z298" s="2"/>
      <c r="AA298" s="2"/>
    </row>
    <row r="299" spans="1:27" x14ac:dyDescent="0.25">
      <c r="A299" s="3"/>
      <c r="B299" s="3"/>
      <c r="C299" s="3"/>
      <c r="E299" s="3"/>
      <c r="F299" s="3"/>
      <c r="G299" s="3"/>
      <c r="I299" s="3"/>
      <c r="J299" s="3"/>
      <c r="K299" s="3"/>
      <c r="M299" s="3"/>
      <c r="N299" s="3"/>
      <c r="O299" s="3"/>
      <c r="Q299" s="3"/>
      <c r="R299" s="3"/>
      <c r="S299" s="3"/>
      <c r="T299" s="3"/>
      <c r="U299" s="3"/>
      <c r="V299" s="2"/>
      <c r="W299" s="2"/>
      <c r="Y299" s="2"/>
      <c r="Z299" s="2"/>
      <c r="AA299" s="2"/>
    </row>
    <row r="300" spans="1:27" x14ac:dyDescent="0.25">
      <c r="A300" s="3"/>
      <c r="B300" s="3"/>
      <c r="C300" s="3"/>
      <c r="E300" s="3"/>
      <c r="F300" s="3"/>
      <c r="G300" s="3"/>
      <c r="I300" s="3"/>
      <c r="J300" s="3"/>
      <c r="K300" s="3"/>
      <c r="M300" s="3"/>
      <c r="N300" s="3"/>
      <c r="O300" s="3"/>
      <c r="Q300" s="3"/>
      <c r="R300" s="3"/>
      <c r="S300" s="3"/>
      <c r="T300" s="3"/>
      <c r="U300" s="3"/>
      <c r="V300" s="2"/>
      <c r="W300" s="2"/>
      <c r="Y300" s="2"/>
      <c r="Z300" s="2"/>
      <c r="AA300" s="2"/>
    </row>
    <row r="301" spans="1:27" x14ac:dyDescent="0.25">
      <c r="A301" s="3"/>
      <c r="B301" s="3"/>
      <c r="C301" s="3"/>
      <c r="E301" s="3"/>
      <c r="F301" s="3"/>
      <c r="G301" s="3"/>
      <c r="I301" s="3"/>
      <c r="J301" s="3"/>
      <c r="K301" s="3"/>
      <c r="M301" s="3"/>
      <c r="N301" s="3"/>
      <c r="O301" s="3"/>
      <c r="Q301" s="3"/>
      <c r="R301" s="3"/>
      <c r="S301" s="3"/>
      <c r="T301" s="3"/>
      <c r="U301" s="3"/>
      <c r="V301" s="2"/>
      <c r="W301" s="2"/>
      <c r="Y301" s="2"/>
      <c r="Z301" s="2"/>
      <c r="AA301" s="2"/>
    </row>
    <row r="302" spans="1:27" x14ac:dyDescent="0.25">
      <c r="A302" s="3"/>
      <c r="B302" s="3"/>
      <c r="C302" s="3"/>
      <c r="E302" s="3"/>
      <c r="F302" s="3"/>
      <c r="G302" s="3"/>
      <c r="I302" s="3"/>
      <c r="J302" s="3"/>
      <c r="K302" s="3"/>
      <c r="M302" s="3"/>
      <c r="N302" s="3"/>
      <c r="O302" s="3"/>
      <c r="Q302" s="3"/>
      <c r="R302" s="3"/>
      <c r="S302" s="3"/>
      <c r="T302" s="3"/>
      <c r="U302" s="3"/>
      <c r="V302" s="2"/>
      <c r="W302" s="2"/>
      <c r="Y302" s="2"/>
      <c r="Z302" s="2"/>
      <c r="AA302" s="2"/>
    </row>
    <row r="303" spans="1:27" x14ac:dyDescent="0.25">
      <c r="A303" s="3"/>
      <c r="B303" s="3"/>
      <c r="C303" s="3"/>
      <c r="E303" s="3"/>
      <c r="F303" s="3"/>
      <c r="G303" s="3"/>
      <c r="I303" s="3"/>
      <c r="J303" s="3"/>
      <c r="K303" s="3"/>
      <c r="M303" s="3"/>
      <c r="N303" s="3"/>
      <c r="O303" s="3"/>
      <c r="Q303" s="3"/>
      <c r="R303" s="3"/>
      <c r="S303" s="3"/>
      <c r="T303" s="3"/>
      <c r="U303" s="3"/>
      <c r="V303" s="2"/>
      <c r="W303" s="2"/>
      <c r="Y303" s="2"/>
      <c r="Z303" s="2"/>
      <c r="AA303" s="2"/>
    </row>
    <row r="304" spans="1:27" x14ac:dyDescent="0.25">
      <c r="A304" s="3"/>
      <c r="B304" s="3"/>
      <c r="C304" s="3"/>
      <c r="E304" s="3"/>
      <c r="F304" s="3"/>
      <c r="G304" s="3"/>
      <c r="I304" s="3"/>
      <c r="J304" s="3"/>
      <c r="K304" s="3"/>
      <c r="M304" s="3"/>
      <c r="N304" s="3"/>
      <c r="O304" s="3"/>
      <c r="Q304" s="3"/>
      <c r="R304" s="3"/>
      <c r="S304" s="3"/>
      <c r="T304" s="3"/>
      <c r="U304" s="3"/>
      <c r="V304" s="2"/>
      <c r="W304" s="2"/>
      <c r="Y304" s="2"/>
      <c r="Z304" s="2"/>
      <c r="AA304" s="2"/>
    </row>
    <row r="305" spans="1:27" x14ac:dyDescent="0.25">
      <c r="A305" s="3"/>
      <c r="B305" s="3"/>
      <c r="C305" s="3"/>
      <c r="E305" s="3"/>
      <c r="F305" s="3"/>
      <c r="G305" s="3"/>
      <c r="I305" s="3"/>
      <c r="J305" s="3"/>
      <c r="K305" s="3"/>
      <c r="M305" s="3"/>
      <c r="N305" s="3"/>
      <c r="O305" s="3"/>
      <c r="Q305" s="3"/>
      <c r="R305" s="3"/>
      <c r="S305" s="3"/>
      <c r="T305" s="3"/>
      <c r="U305" s="3"/>
      <c r="V305" s="2"/>
      <c r="W305" s="2"/>
      <c r="Y305" s="2"/>
      <c r="Z305" s="2"/>
      <c r="AA305" s="2"/>
    </row>
    <row r="306" spans="1:27" x14ac:dyDescent="0.25">
      <c r="A306" s="3"/>
      <c r="B306" s="3"/>
      <c r="C306" s="3"/>
      <c r="E306" s="3"/>
      <c r="F306" s="3"/>
      <c r="G306" s="3"/>
      <c r="I306" s="3"/>
      <c r="J306" s="3"/>
      <c r="K306" s="3"/>
      <c r="M306" s="3"/>
      <c r="N306" s="3"/>
      <c r="O306" s="3"/>
      <c r="Q306" s="3"/>
      <c r="R306" s="3"/>
      <c r="S306" s="3"/>
      <c r="T306" s="3"/>
      <c r="U306" s="3"/>
      <c r="V306" s="2"/>
      <c r="W306" s="2"/>
      <c r="Y306" s="2"/>
      <c r="Z306" s="2"/>
      <c r="AA306" s="2"/>
    </row>
    <row r="307" spans="1:27" x14ac:dyDescent="0.25">
      <c r="A307" s="3"/>
      <c r="B307" s="3"/>
      <c r="C307" s="3"/>
      <c r="E307" s="3"/>
      <c r="F307" s="3"/>
      <c r="G307" s="3"/>
      <c r="I307" s="3"/>
      <c r="J307" s="3"/>
      <c r="K307" s="3"/>
      <c r="M307" s="3"/>
      <c r="N307" s="3"/>
      <c r="O307" s="3"/>
      <c r="Q307" s="3"/>
      <c r="R307" s="3"/>
      <c r="S307" s="3"/>
      <c r="T307" s="3"/>
      <c r="U307" s="3"/>
      <c r="V307" s="2"/>
      <c r="W307" s="2"/>
      <c r="Y307" s="2"/>
      <c r="Z307" s="2"/>
      <c r="AA307" s="2"/>
    </row>
    <row r="308" spans="1:27" x14ac:dyDescent="0.25">
      <c r="A308" s="3"/>
      <c r="B308" s="3"/>
      <c r="C308" s="3"/>
      <c r="E308" s="3"/>
      <c r="F308" s="3"/>
      <c r="G308" s="3"/>
      <c r="I308" s="3"/>
      <c r="J308" s="3"/>
      <c r="K308" s="3"/>
      <c r="M308" s="3"/>
      <c r="N308" s="3"/>
      <c r="O308" s="3"/>
      <c r="Q308" s="3"/>
      <c r="R308" s="3"/>
      <c r="S308" s="3"/>
      <c r="T308" s="3"/>
      <c r="U308" s="3"/>
      <c r="V308" s="2"/>
      <c r="W308" s="2"/>
      <c r="Y308" s="2"/>
      <c r="Z308" s="2"/>
      <c r="AA308" s="2"/>
    </row>
    <row r="309" spans="1:27" x14ac:dyDescent="0.25">
      <c r="A309" s="3"/>
      <c r="B309" s="3"/>
      <c r="C309" s="3"/>
      <c r="E309" s="3"/>
      <c r="F309" s="3"/>
      <c r="G309" s="3"/>
      <c r="I309" s="3"/>
      <c r="J309" s="3"/>
      <c r="K309" s="3"/>
      <c r="M309" s="3"/>
      <c r="N309" s="3"/>
      <c r="O309" s="3"/>
      <c r="Q309" s="3"/>
      <c r="R309" s="3"/>
      <c r="S309" s="3"/>
      <c r="T309" s="3"/>
      <c r="U309" s="3"/>
      <c r="V309" s="2"/>
      <c r="W309" s="2"/>
      <c r="Y309" s="2"/>
      <c r="Z309" s="2"/>
      <c r="AA309" s="2"/>
    </row>
    <row r="310" spans="1:27" x14ac:dyDescent="0.25">
      <c r="A310" s="3"/>
      <c r="B310" s="3"/>
      <c r="C310" s="3"/>
      <c r="E310" s="3"/>
      <c r="F310" s="3"/>
      <c r="G310" s="3"/>
      <c r="I310" s="3"/>
      <c r="J310" s="3"/>
      <c r="K310" s="3"/>
      <c r="M310" s="3"/>
      <c r="N310" s="3"/>
      <c r="O310" s="3"/>
      <c r="Q310" s="3"/>
      <c r="R310" s="3"/>
      <c r="S310" s="3"/>
      <c r="T310" s="3"/>
      <c r="U310" s="3"/>
      <c r="V310" s="2"/>
      <c r="W310" s="2"/>
      <c r="Y310" s="2"/>
      <c r="Z310" s="2"/>
      <c r="AA310" s="2"/>
    </row>
    <row r="311" spans="1:27" x14ac:dyDescent="0.25">
      <c r="A311" s="3"/>
      <c r="B311" s="3"/>
      <c r="C311" s="3"/>
      <c r="E311" s="3"/>
      <c r="F311" s="3"/>
      <c r="G311" s="3"/>
      <c r="I311" s="3"/>
      <c r="J311" s="3"/>
      <c r="K311" s="3"/>
      <c r="M311" s="3"/>
      <c r="N311" s="3"/>
      <c r="O311" s="3"/>
      <c r="Q311" s="3"/>
      <c r="R311" s="3"/>
      <c r="S311" s="3"/>
      <c r="T311" s="3"/>
      <c r="U311" s="3"/>
      <c r="V311" s="2"/>
      <c r="W311" s="2"/>
      <c r="Y311" s="2"/>
      <c r="Z311" s="2"/>
      <c r="AA311" s="2"/>
    </row>
    <row r="312" spans="1:27" x14ac:dyDescent="0.25">
      <c r="A312" s="3"/>
      <c r="B312" s="3"/>
      <c r="C312" s="3"/>
      <c r="E312" s="3"/>
      <c r="F312" s="3"/>
      <c r="G312" s="3"/>
      <c r="I312" s="3"/>
      <c r="J312" s="3"/>
      <c r="K312" s="3"/>
      <c r="M312" s="3"/>
      <c r="N312" s="3"/>
      <c r="O312" s="3"/>
      <c r="Q312" s="3"/>
      <c r="R312" s="3"/>
      <c r="S312" s="3"/>
      <c r="T312" s="3"/>
      <c r="U312" s="3"/>
      <c r="V312" s="2"/>
      <c r="W312" s="2"/>
      <c r="Y312" s="2"/>
      <c r="Z312" s="2"/>
      <c r="AA312" s="2"/>
    </row>
    <row r="313" spans="1:27" x14ac:dyDescent="0.25">
      <c r="A313" s="3"/>
      <c r="B313" s="3"/>
      <c r="C313" s="3"/>
      <c r="E313" s="3"/>
      <c r="F313" s="3"/>
      <c r="G313" s="3"/>
      <c r="I313" s="3"/>
      <c r="J313" s="3"/>
      <c r="K313" s="3"/>
      <c r="M313" s="3"/>
      <c r="N313" s="3"/>
      <c r="O313" s="3"/>
      <c r="Q313" s="3"/>
      <c r="R313" s="3"/>
      <c r="S313" s="3"/>
      <c r="T313" s="3"/>
      <c r="U313" s="3"/>
      <c r="V313" s="2"/>
      <c r="W313" s="2"/>
      <c r="Y313" s="2"/>
      <c r="Z313" s="2"/>
      <c r="AA313" s="2"/>
    </row>
    <row r="314" spans="1:27" x14ac:dyDescent="0.25">
      <c r="A314" s="3"/>
      <c r="B314" s="3"/>
      <c r="C314" s="3"/>
      <c r="E314" s="3"/>
      <c r="F314" s="3"/>
      <c r="G314" s="3"/>
      <c r="I314" s="3"/>
      <c r="J314" s="3"/>
      <c r="K314" s="3"/>
      <c r="M314" s="3"/>
      <c r="N314" s="3"/>
      <c r="O314" s="3"/>
      <c r="Q314" s="3"/>
      <c r="R314" s="3"/>
      <c r="S314" s="3"/>
      <c r="T314" s="3"/>
      <c r="U314" s="3"/>
      <c r="V314" s="2"/>
      <c r="W314" s="2"/>
      <c r="Y314" s="2"/>
      <c r="Z314" s="2"/>
      <c r="AA314" s="2"/>
    </row>
    <row r="315" spans="1:27" x14ac:dyDescent="0.25">
      <c r="A315" s="3"/>
      <c r="B315" s="3"/>
      <c r="C315" s="3"/>
      <c r="E315" s="3"/>
      <c r="F315" s="3"/>
      <c r="G315" s="3"/>
      <c r="I315" s="3"/>
      <c r="J315" s="3"/>
      <c r="K315" s="3"/>
      <c r="M315" s="3"/>
      <c r="N315" s="3"/>
      <c r="O315" s="3"/>
      <c r="Q315" s="3"/>
      <c r="R315" s="3"/>
      <c r="S315" s="3"/>
      <c r="T315" s="3"/>
      <c r="U315" s="3"/>
      <c r="V315" s="2"/>
      <c r="W315" s="2"/>
      <c r="Y315" s="2"/>
      <c r="Z315" s="2"/>
      <c r="AA315" s="2"/>
    </row>
    <row r="316" spans="1:27" x14ac:dyDescent="0.25">
      <c r="A316" s="3"/>
      <c r="B316" s="3"/>
      <c r="C316" s="3"/>
      <c r="E316" s="3"/>
      <c r="F316" s="3"/>
      <c r="G316" s="3"/>
      <c r="I316" s="3"/>
      <c r="J316" s="3"/>
      <c r="K316" s="3"/>
      <c r="M316" s="3"/>
      <c r="N316" s="3"/>
      <c r="O316" s="3"/>
      <c r="Q316" s="3"/>
      <c r="R316" s="3"/>
      <c r="S316" s="3"/>
      <c r="T316" s="3"/>
      <c r="U316" s="3"/>
      <c r="V316" s="2"/>
      <c r="W316" s="2"/>
      <c r="Y316" s="2"/>
      <c r="Z316" s="2"/>
      <c r="AA316" s="2"/>
    </row>
    <row r="317" spans="1:27" x14ac:dyDescent="0.25">
      <c r="A317" s="3"/>
      <c r="B317" s="3"/>
      <c r="C317" s="3"/>
      <c r="E317" s="3"/>
      <c r="F317" s="3"/>
      <c r="G317" s="3"/>
      <c r="I317" s="3"/>
      <c r="J317" s="3"/>
      <c r="K317" s="3"/>
      <c r="M317" s="3"/>
      <c r="N317" s="3"/>
      <c r="O317" s="3"/>
      <c r="Q317" s="3"/>
      <c r="R317" s="3"/>
      <c r="S317" s="3"/>
      <c r="T317" s="3"/>
      <c r="U317" s="3"/>
      <c r="V317" s="2"/>
      <c r="W317" s="2"/>
      <c r="Y317" s="2"/>
      <c r="Z317" s="2"/>
      <c r="AA317" s="2"/>
    </row>
    <row r="318" spans="1:27" x14ac:dyDescent="0.25">
      <c r="A318" s="3"/>
      <c r="B318" s="3"/>
      <c r="C318" s="3"/>
      <c r="E318" s="3"/>
      <c r="F318" s="3"/>
      <c r="G318" s="3"/>
      <c r="I318" s="3"/>
      <c r="J318" s="3"/>
      <c r="K318" s="3"/>
      <c r="M318" s="3"/>
      <c r="N318" s="3"/>
      <c r="O318" s="3"/>
      <c r="Q318" s="3"/>
      <c r="R318" s="3"/>
      <c r="S318" s="3"/>
      <c r="T318" s="3"/>
      <c r="U318" s="3"/>
      <c r="V318" s="2"/>
      <c r="W318" s="2"/>
      <c r="Y318" s="2"/>
      <c r="Z318" s="2"/>
      <c r="AA318" s="2"/>
    </row>
    <row r="319" spans="1:27" x14ac:dyDescent="0.25">
      <c r="A319" s="3"/>
      <c r="B319" s="3"/>
      <c r="C319" s="3"/>
      <c r="E319" s="3"/>
      <c r="F319" s="3"/>
      <c r="G319" s="3"/>
      <c r="I319" s="3"/>
      <c r="J319" s="3"/>
      <c r="K319" s="3"/>
      <c r="M319" s="3"/>
      <c r="N319" s="3"/>
      <c r="O319" s="3"/>
      <c r="Q319" s="3"/>
      <c r="R319" s="3"/>
      <c r="S319" s="3"/>
      <c r="T319" s="3"/>
      <c r="U319" s="3"/>
      <c r="V319" s="2"/>
      <c r="W319" s="2"/>
      <c r="Y319" s="2"/>
      <c r="Z319" s="2"/>
      <c r="AA319" s="2"/>
    </row>
    <row r="320" spans="1:27" x14ac:dyDescent="0.25">
      <c r="A320" s="3"/>
      <c r="B320" s="3"/>
      <c r="C320" s="3"/>
      <c r="E320" s="3"/>
      <c r="F320" s="3"/>
      <c r="G320" s="3"/>
      <c r="I320" s="3"/>
      <c r="J320" s="3"/>
      <c r="K320" s="3"/>
      <c r="M320" s="3"/>
      <c r="N320" s="3"/>
      <c r="O320" s="3"/>
      <c r="Q320" s="3"/>
      <c r="R320" s="3"/>
      <c r="S320" s="3"/>
      <c r="T320" s="3"/>
      <c r="U320" s="3"/>
      <c r="V320" s="2"/>
      <c r="W320" s="2"/>
      <c r="Y320" s="2"/>
      <c r="Z320" s="2"/>
      <c r="AA320" s="2"/>
    </row>
    <row r="321" spans="1:27" x14ac:dyDescent="0.25">
      <c r="A321" s="3"/>
      <c r="B321" s="3"/>
      <c r="C321" s="3"/>
      <c r="E321" s="3"/>
      <c r="F321" s="3"/>
      <c r="G321" s="3"/>
      <c r="I321" s="3"/>
      <c r="J321" s="3"/>
      <c r="K321" s="3"/>
      <c r="M321" s="3"/>
      <c r="N321" s="3"/>
      <c r="O321" s="3"/>
      <c r="Q321" s="3"/>
      <c r="R321" s="3"/>
      <c r="S321" s="3"/>
      <c r="T321" s="3"/>
      <c r="U321" s="3"/>
      <c r="V321" s="2"/>
      <c r="W321" s="2"/>
      <c r="Y321" s="2"/>
      <c r="Z321" s="2"/>
      <c r="AA321" s="2"/>
    </row>
    <row r="322" spans="1:27" x14ac:dyDescent="0.25">
      <c r="A322" s="3"/>
      <c r="B322" s="3"/>
      <c r="C322" s="3"/>
      <c r="E322" s="3"/>
      <c r="F322" s="3"/>
      <c r="G322" s="3"/>
      <c r="I322" s="3"/>
      <c r="J322" s="3"/>
      <c r="K322" s="3"/>
      <c r="M322" s="3"/>
      <c r="N322" s="3"/>
      <c r="O322" s="3"/>
      <c r="Q322" s="3"/>
      <c r="R322" s="3"/>
      <c r="S322" s="3"/>
      <c r="T322" s="3"/>
      <c r="U322" s="3"/>
      <c r="V322" s="2"/>
      <c r="W322" s="2"/>
      <c r="Y322" s="2"/>
      <c r="Z322" s="2"/>
      <c r="AA322" s="2"/>
    </row>
    <row r="323" spans="1:27" x14ac:dyDescent="0.25">
      <c r="A323" s="3"/>
      <c r="B323" s="3"/>
      <c r="C323" s="3"/>
      <c r="E323" s="3"/>
      <c r="F323" s="3"/>
      <c r="G323" s="3"/>
      <c r="I323" s="3"/>
      <c r="J323" s="3"/>
      <c r="K323" s="3"/>
      <c r="M323" s="3"/>
      <c r="N323" s="3"/>
      <c r="O323" s="3"/>
      <c r="Q323" s="3"/>
      <c r="R323" s="3"/>
      <c r="S323" s="3"/>
      <c r="T323" s="3"/>
      <c r="U323" s="3"/>
      <c r="V323" s="2"/>
      <c r="W323" s="2"/>
      <c r="Y323" s="2"/>
      <c r="Z323" s="2"/>
      <c r="AA323" s="2"/>
    </row>
    <row r="324" spans="1:27" x14ac:dyDescent="0.25">
      <c r="A324" s="3"/>
      <c r="B324" s="3"/>
      <c r="C324" s="3"/>
      <c r="E324" s="3"/>
      <c r="F324" s="3"/>
      <c r="G324" s="3"/>
      <c r="I324" s="3"/>
      <c r="J324" s="3"/>
      <c r="K324" s="3"/>
      <c r="M324" s="3"/>
      <c r="N324" s="3"/>
      <c r="O324" s="3"/>
      <c r="Q324" s="3"/>
      <c r="R324" s="3"/>
      <c r="S324" s="3"/>
      <c r="T324" s="3"/>
      <c r="U324" s="3"/>
      <c r="V324" s="2"/>
      <c r="W324" s="2"/>
      <c r="Y324" s="2"/>
      <c r="Z324" s="2"/>
      <c r="AA324" s="2"/>
    </row>
    <row r="325" spans="1:27" x14ac:dyDescent="0.25">
      <c r="A325" s="3"/>
      <c r="B325" s="3"/>
      <c r="C325" s="3"/>
      <c r="E325" s="3"/>
      <c r="F325" s="3"/>
      <c r="G325" s="3"/>
      <c r="I325" s="3"/>
      <c r="J325" s="3"/>
      <c r="K325" s="3"/>
      <c r="M325" s="3"/>
      <c r="N325" s="3"/>
      <c r="O325" s="3"/>
      <c r="Q325" s="3"/>
      <c r="R325" s="3"/>
      <c r="S325" s="3"/>
      <c r="T325" s="3"/>
      <c r="U325" s="3"/>
      <c r="V325" s="2"/>
      <c r="W325" s="2"/>
      <c r="Y325" s="2"/>
      <c r="Z325" s="2"/>
      <c r="AA325" s="2"/>
    </row>
    <row r="326" spans="1:27" x14ac:dyDescent="0.25">
      <c r="A326" s="3"/>
      <c r="B326" s="3"/>
      <c r="C326" s="3"/>
      <c r="E326" s="3"/>
      <c r="F326" s="3"/>
      <c r="G326" s="3"/>
      <c r="I326" s="3"/>
      <c r="J326" s="3"/>
      <c r="K326" s="3"/>
      <c r="M326" s="3"/>
      <c r="N326" s="3"/>
      <c r="O326" s="3"/>
      <c r="Q326" s="3"/>
      <c r="R326" s="3"/>
      <c r="S326" s="3"/>
      <c r="T326" s="3"/>
      <c r="U326" s="3"/>
      <c r="V326" s="2"/>
      <c r="W326" s="2"/>
      <c r="Y326" s="2"/>
      <c r="Z326" s="2"/>
      <c r="AA326" s="2"/>
    </row>
    <row r="327" spans="1:27" x14ac:dyDescent="0.25">
      <c r="A327" s="3"/>
      <c r="B327" s="3"/>
      <c r="C327" s="3"/>
      <c r="E327" s="3"/>
      <c r="F327" s="3"/>
      <c r="G327" s="3"/>
      <c r="I327" s="3"/>
      <c r="J327" s="3"/>
      <c r="K327" s="3"/>
      <c r="M327" s="3"/>
      <c r="N327" s="3"/>
      <c r="O327" s="3"/>
      <c r="Q327" s="3"/>
      <c r="R327" s="3"/>
      <c r="S327" s="3"/>
      <c r="T327" s="3"/>
      <c r="U327" s="3"/>
      <c r="V327" s="2"/>
      <c r="W327" s="2"/>
      <c r="Y327" s="2"/>
      <c r="Z327" s="2"/>
      <c r="AA327" s="2"/>
    </row>
    <row r="328" spans="1:27" x14ac:dyDescent="0.25">
      <c r="A328" s="3"/>
      <c r="B328" s="3"/>
      <c r="C328" s="3"/>
      <c r="E328" s="3"/>
      <c r="F328" s="3"/>
      <c r="G328" s="3"/>
      <c r="I328" s="3"/>
      <c r="J328" s="3"/>
      <c r="K328" s="3"/>
      <c r="M328" s="3"/>
      <c r="N328" s="3"/>
      <c r="O328" s="3"/>
      <c r="Q328" s="3"/>
      <c r="R328" s="3"/>
      <c r="S328" s="3"/>
      <c r="T328" s="3"/>
      <c r="U328" s="3"/>
      <c r="V328" s="2"/>
      <c r="W328" s="2"/>
      <c r="Y328" s="2"/>
      <c r="Z328" s="2"/>
      <c r="AA328" s="2"/>
    </row>
    <row r="329" spans="1:27" x14ac:dyDescent="0.25">
      <c r="A329" s="3"/>
      <c r="B329" s="3"/>
      <c r="C329" s="3"/>
      <c r="E329" s="3"/>
      <c r="F329" s="3"/>
      <c r="G329" s="3"/>
      <c r="I329" s="3"/>
      <c r="J329" s="3"/>
      <c r="K329" s="3"/>
      <c r="M329" s="3"/>
      <c r="N329" s="3"/>
      <c r="O329" s="3"/>
      <c r="Q329" s="3"/>
      <c r="R329" s="3"/>
      <c r="S329" s="3"/>
      <c r="T329" s="3"/>
      <c r="U329" s="3"/>
      <c r="V329" s="2"/>
      <c r="W329" s="2"/>
      <c r="Y329" s="2"/>
      <c r="Z329" s="2"/>
      <c r="AA329" s="2"/>
    </row>
    <row r="330" spans="1:27" x14ac:dyDescent="0.25">
      <c r="A330" s="3"/>
      <c r="B330" s="3"/>
      <c r="C330" s="3"/>
      <c r="E330" s="3"/>
      <c r="F330" s="3"/>
      <c r="G330" s="3"/>
      <c r="I330" s="3"/>
      <c r="J330" s="3"/>
      <c r="K330" s="3"/>
      <c r="M330" s="3"/>
      <c r="N330" s="3"/>
      <c r="O330" s="3"/>
      <c r="Q330" s="3"/>
      <c r="R330" s="3"/>
      <c r="S330" s="3"/>
      <c r="T330" s="3"/>
      <c r="U330" s="3"/>
      <c r="V330" s="2"/>
      <c r="W330" s="2"/>
      <c r="Y330" s="2"/>
      <c r="Z330" s="2"/>
      <c r="AA330" s="2"/>
    </row>
    <row r="331" spans="1:27" x14ac:dyDescent="0.25">
      <c r="A331" s="3"/>
      <c r="B331" s="3"/>
      <c r="C331" s="3"/>
      <c r="E331" s="3"/>
      <c r="F331" s="3"/>
      <c r="G331" s="3"/>
      <c r="I331" s="3"/>
      <c r="J331" s="3"/>
      <c r="K331" s="3"/>
      <c r="M331" s="3"/>
      <c r="N331" s="3"/>
      <c r="O331" s="3"/>
      <c r="Q331" s="3"/>
      <c r="R331" s="3"/>
      <c r="S331" s="3"/>
      <c r="T331" s="3"/>
      <c r="U331" s="3"/>
      <c r="V331" s="2"/>
      <c r="W331" s="2"/>
      <c r="Y331" s="2"/>
      <c r="Z331" s="2"/>
      <c r="AA331" s="2"/>
    </row>
    <row r="332" spans="1:27" x14ac:dyDescent="0.25">
      <c r="A332" s="3"/>
      <c r="B332" s="3"/>
      <c r="C332" s="3"/>
      <c r="E332" s="3"/>
      <c r="F332" s="3"/>
      <c r="G332" s="3"/>
      <c r="I332" s="3"/>
      <c r="J332" s="3"/>
      <c r="K332" s="3"/>
      <c r="M332" s="3"/>
      <c r="N332" s="3"/>
      <c r="O332" s="3"/>
      <c r="Q332" s="3"/>
      <c r="R332" s="3"/>
      <c r="S332" s="3"/>
      <c r="T332" s="3"/>
      <c r="U332" s="3"/>
      <c r="V332" s="2"/>
      <c r="W332" s="2"/>
      <c r="Y332" s="2"/>
      <c r="Z332" s="2"/>
      <c r="AA332" s="2"/>
    </row>
    <row r="333" spans="1:27" x14ac:dyDescent="0.25">
      <c r="A333" s="3"/>
      <c r="B333" s="3"/>
      <c r="C333" s="3"/>
      <c r="E333" s="3"/>
      <c r="F333" s="3"/>
      <c r="G333" s="3"/>
      <c r="I333" s="3"/>
      <c r="J333" s="3"/>
      <c r="K333" s="3"/>
      <c r="M333" s="3"/>
      <c r="N333" s="3"/>
      <c r="O333" s="3"/>
      <c r="Q333" s="3"/>
      <c r="R333" s="3"/>
      <c r="S333" s="3"/>
      <c r="T333" s="3"/>
      <c r="U333" s="3"/>
      <c r="V333" s="2"/>
      <c r="W333" s="2"/>
      <c r="Y333" s="2"/>
      <c r="Z333" s="2"/>
      <c r="AA333" s="2"/>
    </row>
    <row r="334" spans="1:27" x14ac:dyDescent="0.25">
      <c r="A334" s="3"/>
      <c r="B334" s="3"/>
      <c r="C334" s="3"/>
      <c r="E334" s="3"/>
      <c r="F334" s="3"/>
      <c r="G334" s="3"/>
      <c r="I334" s="3"/>
      <c r="J334" s="3"/>
      <c r="K334" s="3"/>
      <c r="M334" s="3"/>
      <c r="N334" s="3"/>
      <c r="O334" s="3"/>
      <c r="Q334" s="3"/>
      <c r="R334" s="3"/>
      <c r="S334" s="3"/>
      <c r="T334" s="3"/>
      <c r="U334" s="3"/>
      <c r="V334" s="2"/>
      <c r="W334" s="2"/>
      <c r="Y334" s="2"/>
      <c r="Z334" s="2"/>
      <c r="AA334" s="2"/>
    </row>
    <row r="335" spans="1:27" x14ac:dyDescent="0.25">
      <c r="A335" s="3"/>
      <c r="B335" s="3"/>
      <c r="C335" s="3"/>
      <c r="E335" s="3"/>
      <c r="F335" s="3"/>
      <c r="G335" s="3"/>
      <c r="I335" s="3"/>
      <c r="J335" s="3"/>
      <c r="K335" s="3"/>
      <c r="M335" s="3"/>
      <c r="N335" s="3"/>
      <c r="O335" s="3"/>
      <c r="Q335" s="3"/>
      <c r="R335" s="3"/>
      <c r="S335" s="3"/>
      <c r="T335" s="3"/>
      <c r="U335" s="3"/>
      <c r="V335" s="2"/>
      <c r="W335" s="2"/>
      <c r="Y335" s="2"/>
      <c r="Z335" s="2"/>
      <c r="AA335" s="2"/>
    </row>
    <row r="336" spans="1:27" x14ac:dyDescent="0.25">
      <c r="A336" s="3"/>
      <c r="B336" s="3"/>
      <c r="C336" s="3"/>
      <c r="E336" s="3"/>
      <c r="F336" s="3"/>
      <c r="G336" s="3"/>
      <c r="I336" s="3"/>
      <c r="J336" s="3"/>
      <c r="K336" s="3"/>
      <c r="M336" s="3"/>
      <c r="N336" s="3"/>
      <c r="O336" s="3"/>
      <c r="Q336" s="3"/>
      <c r="R336" s="3"/>
      <c r="S336" s="3"/>
      <c r="T336" s="3"/>
      <c r="U336" s="3"/>
      <c r="V336" s="2"/>
      <c r="W336" s="2"/>
      <c r="Y336" s="2"/>
      <c r="Z336" s="2"/>
      <c r="AA336" s="2"/>
    </row>
    <row r="337" spans="1:27" x14ac:dyDescent="0.25">
      <c r="A337" s="3"/>
      <c r="B337" s="3"/>
      <c r="C337" s="3"/>
      <c r="E337" s="3"/>
      <c r="F337" s="3"/>
      <c r="G337" s="3"/>
      <c r="I337" s="3"/>
      <c r="J337" s="3"/>
      <c r="K337" s="3"/>
      <c r="M337" s="3"/>
      <c r="N337" s="3"/>
      <c r="O337" s="3"/>
      <c r="Q337" s="3"/>
      <c r="R337" s="3"/>
      <c r="S337" s="3"/>
      <c r="T337" s="3"/>
      <c r="U337" s="3"/>
      <c r="V337" s="2"/>
      <c r="W337" s="2"/>
      <c r="Y337" s="2"/>
      <c r="Z337" s="2"/>
      <c r="AA337" s="2"/>
    </row>
    <row r="338" spans="1:27" x14ac:dyDescent="0.25">
      <c r="A338" s="3"/>
      <c r="B338" s="3"/>
      <c r="C338" s="3"/>
      <c r="E338" s="3"/>
      <c r="F338" s="3"/>
      <c r="G338" s="3"/>
      <c r="I338" s="3"/>
      <c r="J338" s="3"/>
      <c r="K338" s="3"/>
      <c r="M338" s="3"/>
      <c r="N338" s="3"/>
      <c r="O338" s="3"/>
      <c r="Q338" s="3"/>
      <c r="R338" s="3"/>
      <c r="S338" s="3"/>
      <c r="T338" s="3"/>
      <c r="U338" s="3"/>
      <c r="V338" s="2"/>
      <c r="W338" s="2"/>
      <c r="Y338" s="2"/>
      <c r="Z338" s="2"/>
      <c r="AA338" s="2"/>
    </row>
    <row r="339" spans="1:27" x14ac:dyDescent="0.25">
      <c r="A339" s="3"/>
      <c r="B339" s="3"/>
      <c r="C339" s="3"/>
      <c r="E339" s="3"/>
      <c r="F339" s="3"/>
      <c r="G339" s="3"/>
      <c r="I339" s="3"/>
      <c r="J339" s="3"/>
      <c r="K339" s="3"/>
      <c r="M339" s="3"/>
      <c r="N339" s="3"/>
      <c r="O339" s="3"/>
      <c r="Q339" s="3"/>
      <c r="R339" s="3"/>
      <c r="S339" s="3"/>
      <c r="T339" s="3"/>
      <c r="U339" s="3"/>
      <c r="V339" s="2"/>
      <c r="W339" s="2"/>
      <c r="Y339" s="2"/>
      <c r="Z339" s="2"/>
      <c r="AA339" s="2"/>
    </row>
    <row r="340" spans="1:27" x14ac:dyDescent="0.25">
      <c r="A340" s="3"/>
      <c r="B340" s="3"/>
      <c r="C340" s="3"/>
      <c r="E340" s="3"/>
      <c r="F340" s="3"/>
      <c r="G340" s="3"/>
      <c r="I340" s="3"/>
      <c r="J340" s="3"/>
      <c r="K340" s="3"/>
      <c r="M340" s="3"/>
      <c r="N340" s="3"/>
      <c r="O340" s="3"/>
      <c r="Q340" s="3"/>
      <c r="R340" s="3"/>
      <c r="S340" s="3"/>
      <c r="T340" s="3"/>
      <c r="U340" s="3"/>
      <c r="V340" s="2"/>
      <c r="W340" s="2"/>
      <c r="Y340" s="2"/>
      <c r="Z340" s="2"/>
      <c r="AA340" s="2"/>
    </row>
    <row r="341" spans="1:27" x14ac:dyDescent="0.25">
      <c r="A341" s="3"/>
      <c r="B341" s="3"/>
      <c r="C341" s="3"/>
      <c r="E341" s="3"/>
      <c r="F341" s="3"/>
      <c r="G341" s="3"/>
      <c r="I341" s="3"/>
      <c r="J341" s="3"/>
      <c r="K341" s="3"/>
      <c r="M341" s="3"/>
      <c r="N341" s="3"/>
      <c r="O341" s="3"/>
      <c r="Q341" s="3"/>
      <c r="R341" s="3"/>
      <c r="S341" s="3"/>
      <c r="T341" s="3"/>
      <c r="U341" s="3"/>
      <c r="V341" s="2"/>
      <c r="W341" s="2"/>
      <c r="Y341" s="2"/>
      <c r="Z341" s="2"/>
      <c r="AA341" s="2"/>
    </row>
    <row r="342" spans="1:27" x14ac:dyDescent="0.25">
      <c r="A342" s="3"/>
      <c r="B342" s="3"/>
      <c r="C342" s="3"/>
      <c r="E342" s="3"/>
      <c r="F342" s="3"/>
      <c r="G342" s="3"/>
      <c r="I342" s="3"/>
      <c r="J342" s="3"/>
      <c r="K342" s="3"/>
      <c r="M342" s="3"/>
      <c r="N342" s="3"/>
      <c r="O342" s="3"/>
      <c r="Q342" s="3"/>
      <c r="R342" s="3"/>
      <c r="S342" s="3"/>
      <c r="T342" s="3"/>
      <c r="U342" s="3"/>
      <c r="V342" s="2"/>
      <c r="W342" s="2"/>
      <c r="Y342" s="2"/>
      <c r="Z342" s="2"/>
      <c r="AA342" s="2"/>
    </row>
    <row r="343" spans="1:27" x14ac:dyDescent="0.25">
      <c r="A343" s="3"/>
      <c r="B343" s="3"/>
      <c r="C343" s="3"/>
      <c r="E343" s="3"/>
      <c r="F343" s="3"/>
      <c r="G343" s="3"/>
      <c r="I343" s="3"/>
      <c r="J343" s="3"/>
      <c r="K343" s="3"/>
      <c r="M343" s="3"/>
      <c r="N343" s="3"/>
      <c r="O343" s="3"/>
      <c r="Q343" s="3"/>
      <c r="R343" s="3"/>
      <c r="S343" s="3"/>
      <c r="T343" s="3"/>
      <c r="U343" s="3"/>
      <c r="V343" s="2"/>
      <c r="W343" s="2"/>
      <c r="Y343" s="2"/>
      <c r="Z343" s="2"/>
      <c r="AA343" s="2"/>
    </row>
    <row r="344" spans="1:27" x14ac:dyDescent="0.25">
      <c r="A344" s="3"/>
      <c r="B344" s="3"/>
      <c r="C344" s="3"/>
      <c r="E344" s="3"/>
      <c r="F344" s="3"/>
      <c r="G344" s="3"/>
      <c r="I344" s="3"/>
      <c r="J344" s="3"/>
      <c r="K344" s="3"/>
      <c r="M344" s="3"/>
      <c r="N344" s="3"/>
      <c r="O344" s="3"/>
      <c r="Q344" s="3"/>
      <c r="R344" s="3"/>
      <c r="S344" s="3"/>
      <c r="T344" s="3"/>
      <c r="U344" s="3"/>
      <c r="V344" s="2"/>
      <c r="W344" s="2"/>
      <c r="Y344" s="2"/>
      <c r="Z344" s="2"/>
      <c r="AA344" s="2"/>
    </row>
    <row r="345" spans="1:27" x14ac:dyDescent="0.25">
      <c r="A345" s="3"/>
      <c r="B345" s="3"/>
      <c r="C345" s="3"/>
      <c r="E345" s="3"/>
      <c r="F345" s="3"/>
      <c r="G345" s="3"/>
      <c r="I345" s="3"/>
      <c r="J345" s="3"/>
      <c r="K345" s="3"/>
      <c r="M345" s="3"/>
      <c r="N345" s="3"/>
      <c r="O345" s="3"/>
      <c r="Q345" s="3"/>
      <c r="R345" s="3"/>
      <c r="S345" s="3"/>
      <c r="T345" s="3"/>
      <c r="U345" s="3"/>
      <c r="V345" s="2"/>
      <c r="W345" s="2"/>
      <c r="Y345" s="2"/>
      <c r="Z345" s="2"/>
      <c r="AA345" s="2"/>
    </row>
    <row r="346" spans="1:27" x14ac:dyDescent="0.25">
      <c r="A346" s="3"/>
      <c r="B346" s="3"/>
      <c r="C346" s="3"/>
      <c r="E346" s="3"/>
      <c r="F346" s="3"/>
      <c r="G346" s="3"/>
      <c r="I346" s="3"/>
      <c r="J346" s="3"/>
      <c r="K346" s="3"/>
      <c r="M346" s="3"/>
      <c r="N346" s="3"/>
      <c r="O346" s="3"/>
      <c r="Q346" s="3"/>
      <c r="R346" s="3"/>
      <c r="S346" s="3"/>
      <c r="T346" s="3"/>
      <c r="U346" s="3"/>
      <c r="V346" s="2"/>
      <c r="W346" s="2"/>
      <c r="Y346" s="2"/>
      <c r="Z346" s="2"/>
      <c r="AA346" s="2"/>
    </row>
    <row r="347" spans="1:27" x14ac:dyDescent="0.25">
      <c r="A347" s="3"/>
      <c r="B347" s="3"/>
      <c r="C347" s="3"/>
      <c r="E347" s="3"/>
      <c r="F347" s="3"/>
      <c r="G347" s="3"/>
      <c r="I347" s="3"/>
      <c r="J347" s="3"/>
      <c r="K347" s="3"/>
      <c r="M347" s="3"/>
      <c r="N347" s="3"/>
      <c r="O347" s="3"/>
      <c r="Q347" s="3"/>
      <c r="R347" s="3"/>
      <c r="S347" s="3"/>
      <c r="T347" s="3"/>
      <c r="U347" s="3"/>
      <c r="V347" s="2"/>
      <c r="W347" s="2"/>
      <c r="Y347" s="2"/>
      <c r="Z347" s="2"/>
      <c r="AA347" s="2"/>
    </row>
    <row r="348" spans="1:27" x14ac:dyDescent="0.25">
      <c r="A348" s="3"/>
      <c r="B348" s="3"/>
      <c r="C348" s="3"/>
      <c r="E348" s="3"/>
      <c r="F348" s="3"/>
      <c r="G348" s="3"/>
      <c r="I348" s="3"/>
      <c r="J348" s="3"/>
      <c r="K348" s="3"/>
      <c r="M348" s="3"/>
      <c r="N348" s="3"/>
      <c r="O348" s="3"/>
      <c r="Q348" s="3"/>
      <c r="R348" s="3"/>
      <c r="S348" s="3"/>
      <c r="T348" s="3"/>
      <c r="U348" s="3"/>
      <c r="V348" s="2"/>
      <c r="W348" s="2"/>
      <c r="Y348" s="2"/>
      <c r="Z348" s="2"/>
      <c r="AA348" s="2"/>
    </row>
    <row r="349" spans="1:27" x14ac:dyDescent="0.25">
      <c r="A349" s="3"/>
      <c r="B349" s="3"/>
      <c r="C349" s="3"/>
      <c r="E349" s="3"/>
      <c r="F349" s="3"/>
      <c r="G349" s="3"/>
      <c r="I349" s="3"/>
      <c r="J349" s="3"/>
      <c r="K349" s="3"/>
      <c r="M349" s="3"/>
      <c r="N349" s="3"/>
      <c r="O349" s="3"/>
      <c r="Q349" s="3"/>
      <c r="R349" s="3"/>
      <c r="S349" s="3"/>
      <c r="T349" s="3"/>
      <c r="U349" s="3"/>
      <c r="V349" s="2"/>
      <c r="W349" s="2"/>
      <c r="Y349" s="2"/>
      <c r="Z349" s="2"/>
      <c r="AA349" s="2"/>
    </row>
    <row r="350" spans="1:27" x14ac:dyDescent="0.25">
      <c r="A350" s="3"/>
      <c r="B350" s="3"/>
      <c r="C350" s="3"/>
      <c r="E350" s="3"/>
      <c r="F350" s="3"/>
      <c r="G350" s="3"/>
      <c r="I350" s="3"/>
      <c r="J350" s="3"/>
      <c r="K350" s="3"/>
      <c r="M350" s="3"/>
      <c r="N350" s="3"/>
      <c r="O350" s="3"/>
      <c r="Q350" s="3"/>
      <c r="R350" s="3"/>
      <c r="S350" s="3"/>
      <c r="T350" s="3"/>
      <c r="U350" s="3"/>
      <c r="V350" s="2"/>
      <c r="W350" s="2"/>
      <c r="Y350" s="2"/>
      <c r="Z350" s="2"/>
      <c r="AA350" s="2"/>
    </row>
    <row r="351" spans="1:27" x14ac:dyDescent="0.25">
      <c r="A351" s="3"/>
      <c r="B351" s="3"/>
      <c r="C351" s="3"/>
      <c r="E351" s="3"/>
      <c r="F351" s="3"/>
      <c r="G351" s="3"/>
      <c r="I351" s="3"/>
      <c r="J351" s="3"/>
      <c r="K351" s="3"/>
      <c r="M351" s="3"/>
      <c r="N351" s="3"/>
      <c r="O351" s="3"/>
      <c r="Q351" s="3"/>
      <c r="R351" s="3"/>
      <c r="S351" s="3"/>
      <c r="T351" s="3"/>
      <c r="U351" s="3"/>
      <c r="V351" s="2"/>
      <c r="W351" s="2"/>
      <c r="Y351" s="2"/>
      <c r="Z351" s="2"/>
      <c r="AA351" s="2"/>
    </row>
    <row r="352" spans="1:27" x14ac:dyDescent="0.25">
      <c r="A352" s="3"/>
      <c r="B352" s="3"/>
      <c r="C352" s="3"/>
      <c r="E352" s="3"/>
      <c r="F352" s="3"/>
      <c r="G352" s="3"/>
      <c r="I352" s="3"/>
      <c r="J352" s="3"/>
      <c r="K352" s="3"/>
      <c r="M352" s="3"/>
      <c r="N352" s="3"/>
      <c r="O352" s="3"/>
      <c r="Q352" s="3"/>
      <c r="R352" s="3"/>
      <c r="S352" s="3"/>
      <c r="T352" s="3"/>
      <c r="U352" s="3"/>
      <c r="V352" s="2"/>
      <c r="W352" s="2"/>
      <c r="Y352" s="2"/>
      <c r="Z352" s="2"/>
      <c r="AA352" s="2"/>
    </row>
    <row r="353" spans="1:27" x14ac:dyDescent="0.25">
      <c r="A353" s="3"/>
      <c r="B353" s="3"/>
      <c r="C353" s="3"/>
      <c r="E353" s="3"/>
      <c r="F353" s="3"/>
      <c r="G353" s="3"/>
      <c r="I353" s="3"/>
      <c r="J353" s="3"/>
      <c r="K353" s="3"/>
      <c r="M353" s="3"/>
      <c r="N353" s="3"/>
      <c r="O353" s="3"/>
      <c r="Q353" s="3"/>
      <c r="R353" s="3"/>
      <c r="S353" s="3"/>
      <c r="T353" s="3"/>
      <c r="U353" s="3"/>
      <c r="V353" s="2"/>
      <c r="W353" s="2"/>
      <c r="Y353" s="2"/>
      <c r="Z353" s="2"/>
      <c r="AA353" s="2"/>
    </row>
    <row r="354" spans="1:27" x14ac:dyDescent="0.25">
      <c r="A354" s="3"/>
      <c r="B354" s="3"/>
      <c r="C354" s="3"/>
      <c r="E354" s="3"/>
      <c r="F354" s="3"/>
      <c r="G354" s="3"/>
      <c r="I354" s="3"/>
      <c r="J354" s="3"/>
      <c r="K354" s="3"/>
      <c r="M354" s="3"/>
      <c r="N354" s="3"/>
      <c r="O354" s="3"/>
      <c r="Q354" s="3"/>
      <c r="R354" s="3"/>
      <c r="S354" s="3"/>
      <c r="T354" s="3"/>
      <c r="U354" s="3"/>
      <c r="V354" s="2"/>
      <c r="W354" s="2"/>
      <c r="Y354" s="2"/>
      <c r="Z354" s="2"/>
      <c r="AA354" s="2"/>
    </row>
    <row r="355" spans="1:27" x14ac:dyDescent="0.25">
      <c r="A355" s="3"/>
      <c r="B355" s="3"/>
      <c r="C355" s="3"/>
      <c r="E355" s="3"/>
      <c r="F355" s="3"/>
      <c r="G355" s="3"/>
      <c r="I355" s="3"/>
      <c r="J355" s="3"/>
      <c r="K355" s="3"/>
      <c r="M355" s="3"/>
      <c r="N355" s="3"/>
      <c r="O355" s="3"/>
      <c r="Q355" s="3"/>
      <c r="R355" s="3"/>
      <c r="S355" s="3"/>
      <c r="T355" s="3"/>
      <c r="U355" s="3"/>
      <c r="V355" s="2"/>
      <c r="W355" s="2"/>
      <c r="Y355" s="2"/>
      <c r="Z355" s="2"/>
      <c r="AA355" s="2"/>
    </row>
    <row r="356" spans="1:27" x14ac:dyDescent="0.25">
      <c r="A356" s="3"/>
      <c r="B356" s="3"/>
      <c r="C356" s="3"/>
      <c r="E356" s="3"/>
      <c r="F356" s="3"/>
      <c r="G356" s="3"/>
      <c r="I356" s="3"/>
      <c r="J356" s="3"/>
      <c r="K356" s="3"/>
      <c r="M356" s="3"/>
      <c r="N356" s="3"/>
      <c r="O356" s="3"/>
      <c r="Q356" s="3"/>
      <c r="R356" s="3"/>
      <c r="S356" s="3"/>
      <c r="T356" s="3"/>
      <c r="U356" s="3"/>
      <c r="V356" s="2"/>
      <c r="W356" s="2"/>
      <c r="Y356" s="2"/>
      <c r="Z356" s="2"/>
      <c r="AA356" s="2"/>
    </row>
    <row r="357" spans="1:27" x14ac:dyDescent="0.25">
      <c r="A357" s="3"/>
      <c r="B357" s="3"/>
      <c r="C357" s="3"/>
      <c r="E357" s="3"/>
      <c r="F357" s="3"/>
      <c r="G357" s="3"/>
      <c r="I357" s="3"/>
      <c r="J357" s="3"/>
      <c r="K357" s="3"/>
      <c r="M357" s="3"/>
      <c r="N357" s="3"/>
      <c r="O357" s="3"/>
      <c r="Q357" s="3"/>
      <c r="R357" s="3"/>
      <c r="S357" s="3"/>
      <c r="T357" s="3"/>
      <c r="U357" s="3"/>
      <c r="V357" s="2"/>
      <c r="W357" s="2"/>
      <c r="Y357" s="2"/>
      <c r="Z357" s="2"/>
      <c r="AA357" s="2"/>
    </row>
    <row r="358" spans="1:27" x14ac:dyDescent="0.25">
      <c r="A358" s="3"/>
      <c r="B358" s="3"/>
      <c r="C358" s="3"/>
      <c r="E358" s="3"/>
      <c r="F358" s="3"/>
      <c r="G358" s="3"/>
      <c r="I358" s="3"/>
      <c r="J358" s="3"/>
      <c r="K358" s="3"/>
      <c r="M358" s="3"/>
      <c r="N358" s="3"/>
      <c r="O358" s="3"/>
      <c r="Q358" s="3"/>
      <c r="R358" s="3"/>
      <c r="S358" s="3"/>
      <c r="T358" s="3"/>
      <c r="U358" s="3"/>
      <c r="V358" s="2"/>
      <c r="W358" s="2"/>
      <c r="Y358" s="2"/>
      <c r="Z358" s="2"/>
      <c r="AA358" s="2"/>
    </row>
    <row r="359" spans="1:27" x14ac:dyDescent="0.25">
      <c r="A359" s="3"/>
      <c r="B359" s="3"/>
      <c r="C359" s="3"/>
      <c r="E359" s="3"/>
      <c r="F359" s="3"/>
      <c r="G359" s="3"/>
      <c r="I359" s="3"/>
      <c r="J359" s="3"/>
      <c r="K359" s="3"/>
      <c r="M359" s="3"/>
      <c r="N359" s="3"/>
      <c r="O359" s="3"/>
      <c r="Q359" s="3"/>
      <c r="R359" s="3"/>
      <c r="S359" s="3"/>
      <c r="T359" s="3"/>
      <c r="U359" s="3"/>
      <c r="V359" s="2"/>
      <c r="W359" s="2"/>
      <c r="Y359" s="2"/>
      <c r="Z359" s="2"/>
      <c r="AA359" s="2"/>
    </row>
    <row r="360" spans="1:27" x14ac:dyDescent="0.25">
      <c r="A360" s="3"/>
      <c r="B360" s="3"/>
      <c r="C360" s="3"/>
      <c r="E360" s="3"/>
      <c r="F360" s="3"/>
      <c r="G360" s="3"/>
      <c r="I360" s="3"/>
      <c r="J360" s="3"/>
      <c r="K360" s="3"/>
      <c r="M360" s="3"/>
      <c r="N360" s="3"/>
      <c r="O360" s="3"/>
      <c r="Q360" s="3"/>
      <c r="R360" s="3"/>
      <c r="S360" s="3"/>
      <c r="T360" s="3"/>
      <c r="U360" s="3"/>
      <c r="V360" s="2"/>
      <c r="W360" s="2"/>
      <c r="Y360" s="2"/>
      <c r="Z360" s="2"/>
      <c r="AA360" s="2"/>
    </row>
    <row r="361" spans="1:27" x14ac:dyDescent="0.25">
      <c r="A361" s="3"/>
      <c r="B361" s="3"/>
      <c r="C361" s="3"/>
      <c r="E361" s="3"/>
      <c r="F361" s="3"/>
      <c r="G361" s="3"/>
      <c r="I361" s="3"/>
      <c r="J361" s="3"/>
      <c r="K361" s="3"/>
      <c r="M361" s="3"/>
      <c r="N361" s="3"/>
      <c r="O361" s="3"/>
      <c r="Q361" s="3"/>
      <c r="R361" s="3"/>
      <c r="S361" s="3"/>
      <c r="T361" s="3"/>
      <c r="U361" s="3"/>
      <c r="V361" s="2"/>
      <c r="W361" s="2"/>
      <c r="Y361" s="2"/>
      <c r="Z361" s="2"/>
      <c r="AA361" s="2"/>
    </row>
    <row r="362" spans="1:27" x14ac:dyDescent="0.25">
      <c r="A362" s="3"/>
      <c r="B362" s="3"/>
      <c r="C362" s="3"/>
      <c r="E362" s="3"/>
      <c r="F362" s="3"/>
      <c r="G362" s="3"/>
      <c r="I362" s="3"/>
      <c r="J362" s="3"/>
      <c r="K362" s="3"/>
      <c r="M362" s="3"/>
      <c r="N362" s="3"/>
      <c r="O362" s="3"/>
      <c r="Q362" s="3"/>
      <c r="R362" s="3"/>
      <c r="S362" s="3"/>
      <c r="T362" s="3"/>
      <c r="U362" s="3"/>
      <c r="V362" s="2"/>
      <c r="W362" s="2"/>
      <c r="Y362" s="2"/>
      <c r="Z362" s="2"/>
      <c r="AA362" s="2"/>
    </row>
    <row r="363" spans="1:27" x14ac:dyDescent="0.25">
      <c r="A363" s="3"/>
      <c r="B363" s="3"/>
      <c r="C363" s="3"/>
      <c r="E363" s="3"/>
      <c r="F363" s="3"/>
      <c r="G363" s="3"/>
      <c r="I363" s="3"/>
      <c r="J363" s="3"/>
      <c r="K363" s="3"/>
      <c r="M363" s="3"/>
      <c r="N363" s="3"/>
      <c r="O363" s="3"/>
      <c r="Q363" s="3"/>
      <c r="R363" s="3"/>
      <c r="S363" s="3"/>
      <c r="T363" s="3"/>
      <c r="U363" s="3"/>
      <c r="V363" s="2"/>
      <c r="W363" s="2"/>
      <c r="Y363" s="2"/>
      <c r="Z363" s="2"/>
      <c r="AA363" s="2"/>
    </row>
    <row r="364" spans="1:27" x14ac:dyDescent="0.25">
      <c r="A364" s="3"/>
      <c r="B364" s="3"/>
      <c r="C364" s="3"/>
      <c r="E364" s="3"/>
      <c r="F364" s="3"/>
      <c r="G364" s="3"/>
      <c r="I364" s="3"/>
      <c r="J364" s="3"/>
      <c r="K364" s="3"/>
      <c r="M364" s="3"/>
      <c r="N364" s="3"/>
      <c r="O364" s="3"/>
      <c r="Q364" s="3"/>
      <c r="R364" s="3"/>
      <c r="S364" s="3"/>
      <c r="T364" s="3"/>
      <c r="U364" s="3"/>
      <c r="V364" s="2"/>
      <c r="W364" s="2"/>
      <c r="Y364" s="2"/>
      <c r="Z364" s="2"/>
      <c r="AA364" s="2"/>
    </row>
    <row r="365" spans="1:27" x14ac:dyDescent="0.25">
      <c r="A365" s="3"/>
      <c r="B365" s="3"/>
      <c r="C365" s="3"/>
      <c r="E365" s="3"/>
      <c r="F365" s="3"/>
      <c r="G365" s="3"/>
      <c r="I365" s="3"/>
      <c r="J365" s="3"/>
      <c r="K365" s="3"/>
      <c r="M365" s="3"/>
      <c r="N365" s="3"/>
      <c r="O365" s="3"/>
      <c r="Q365" s="3"/>
      <c r="R365" s="3"/>
      <c r="S365" s="3"/>
      <c r="T365" s="3"/>
      <c r="U365" s="3"/>
      <c r="V365" s="2"/>
      <c r="W365" s="2"/>
      <c r="Y365" s="2"/>
      <c r="Z365" s="2"/>
      <c r="AA365" s="2"/>
    </row>
    <row r="366" spans="1:27" x14ac:dyDescent="0.25">
      <c r="A366" s="3"/>
      <c r="B366" s="3"/>
      <c r="C366" s="3"/>
      <c r="E366" s="3"/>
      <c r="F366" s="3"/>
      <c r="G366" s="3"/>
      <c r="I366" s="3"/>
      <c r="J366" s="3"/>
      <c r="K366" s="3"/>
      <c r="M366" s="3"/>
      <c r="N366" s="3"/>
      <c r="O366" s="3"/>
      <c r="Q366" s="3"/>
      <c r="R366" s="3"/>
      <c r="S366" s="3"/>
      <c r="T366" s="3"/>
      <c r="U366" s="3"/>
      <c r="V366" s="2"/>
      <c r="W366" s="2"/>
      <c r="Y366" s="2"/>
      <c r="Z366" s="2"/>
      <c r="AA366" s="2"/>
    </row>
    <row r="367" spans="1:27" x14ac:dyDescent="0.25">
      <c r="A367" s="3"/>
      <c r="B367" s="3"/>
      <c r="C367" s="3"/>
      <c r="E367" s="3"/>
      <c r="F367" s="3"/>
      <c r="G367" s="3"/>
      <c r="I367" s="3"/>
      <c r="J367" s="3"/>
      <c r="K367" s="3"/>
      <c r="M367" s="3"/>
      <c r="N367" s="3"/>
      <c r="O367" s="3"/>
      <c r="Q367" s="3"/>
      <c r="R367" s="3"/>
      <c r="S367" s="3"/>
      <c r="T367" s="3"/>
      <c r="U367" s="3"/>
      <c r="V367" s="2"/>
      <c r="W367" s="2"/>
      <c r="Y367" s="2"/>
      <c r="Z367" s="2"/>
      <c r="AA367" s="2"/>
    </row>
    <row r="368" spans="1:27" x14ac:dyDescent="0.25">
      <c r="A368" s="3"/>
      <c r="B368" s="3"/>
      <c r="C368" s="3"/>
      <c r="E368" s="3"/>
      <c r="F368" s="3"/>
      <c r="G368" s="3"/>
      <c r="I368" s="3"/>
      <c r="J368" s="3"/>
      <c r="K368" s="3"/>
      <c r="M368" s="3"/>
      <c r="N368" s="3"/>
      <c r="O368" s="3"/>
      <c r="Q368" s="3"/>
      <c r="R368" s="3"/>
      <c r="S368" s="3"/>
      <c r="T368" s="3"/>
      <c r="U368" s="3"/>
      <c r="V368" s="2"/>
      <c r="W368" s="2"/>
      <c r="Y368" s="2"/>
      <c r="Z368" s="2"/>
      <c r="AA368" s="2"/>
    </row>
    <row r="369" spans="1:27" x14ac:dyDescent="0.25">
      <c r="A369" s="3"/>
      <c r="B369" s="3"/>
      <c r="C369" s="3"/>
      <c r="E369" s="3"/>
      <c r="F369" s="3"/>
      <c r="G369" s="3"/>
      <c r="I369" s="3"/>
      <c r="J369" s="3"/>
      <c r="K369" s="3"/>
      <c r="M369" s="3"/>
      <c r="N369" s="3"/>
      <c r="O369" s="3"/>
      <c r="Q369" s="3"/>
      <c r="R369" s="3"/>
      <c r="S369" s="3"/>
      <c r="T369" s="3"/>
      <c r="U369" s="3"/>
      <c r="V369" s="2"/>
      <c r="W369" s="2"/>
      <c r="Y369" s="2"/>
      <c r="Z369" s="2"/>
      <c r="AA369" s="2"/>
    </row>
    <row r="370" spans="1:27" x14ac:dyDescent="0.25">
      <c r="A370" s="3"/>
      <c r="B370" s="3"/>
      <c r="C370" s="3"/>
      <c r="E370" s="3"/>
      <c r="F370" s="3"/>
      <c r="G370" s="3"/>
      <c r="I370" s="3"/>
      <c r="J370" s="3"/>
      <c r="K370" s="3"/>
      <c r="M370" s="3"/>
      <c r="N370" s="3"/>
      <c r="O370" s="3"/>
      <c r="Q370" s="3"/>
      <c r="R370" s="3"/>
      <c r="S370" s="3"/>
      <c r="T370" s="3"/>
      <c r="U370" s="3"/>
      <c r="V370" s="2"/>
      <c r="W370" s="2"/>
      <c r="Y370" s="2"/>
      <c r="Z370" s="2"/>
      <c r="AA370" s="2"/>
    </row>
    <row r="371" spans="1:27" x14ac:dyDescent="0.25">
      <c r="A371" s="3"/>
      <c r="B371" s="3"/>
      <c r="C371" s="3"/>
      <c r="E371" s="3"/>
      <c r="F371" s="3"/>
      <c r="G371" s="3"/>
      <c r="I371" s="3"/>
      <c r="J371" s="3"/>
      <c r="K371" s="3"/>
      <c r="M371" s="3"/>
      <c r="N371" s="3"/>
      <c r="O371" s="3"/>
      <c r="Q371" s="3"/>
      <c r="R371" s="3"/>
      <c r="S371" s="3"/>
      <c r="T371" s="3"/>
      <c r="U371" s="3"/>
      <c r="V371" s="2"/>
      <c r="W371" s="2"/>
      <c r="Y371" s="2"/>
      <c r="Z371" s="2"/>
      <c r="AA371" s="2"/>
    </row>
    <row r="372" spans="1:27" x14ac:dyDescent="0.25">
      <c r="A372" s="3"/>
      <c r="B372" s="3"/>
      <c r="C372" s="3"/>
      <c r="E372" s="3"/>
      <c r="F372" s="3"/>
      <c r="G372" s="3"/>
      <c r="I372" s="3"/>
      <c r="J372" s="3"/>
      <c r="K372" s="3"/>
      <c r="M372" s="3"/>
      <c r="N372" s="3"/>
      <c r="O372" s="3"/>
      <c r="Q372" s="3"/>
      <c r="R372" s="3"/>
      <c r="S372" s="3"/>
      <c r="T372" s="3"/>
      <c r="U372" s="3"/>
      <c r="V372" s="2"/>
      <c r="W372" s="2"/>
      <c r="Y372" s="2"/>
      <c r="Z372" s="2"/>
      <c r="AA372" s="2"/>
    </row>
    <row r="373" spans="1:27" x14ac:dyDescent="0.25">
      <c r="A373" s="3"/>
      <c r="B373" s="3"/>
      <c r="C373" s="3"/>
      <c r="E373" s="3"/>
      <c r="F373" s="3"/>
      <c r="G373" s="3"/>
      <c r="I373" s="3"/>
      <c r="J373" s="3"/>
      <c r="K373" s="3"/>
      <c r="M373" s="3"/>
      <c r="N373" s="3"/>
      <c r="O373" s="3"/>
      <c r="Q373" s="3"/>
      <c r="R373" s="3"/>
      <c r="S373" s="3"/>
      <c r="T373" s="3"/>
      <c r="U373" s="3"/>
      <c r="V373" s="2"/>
      <c r="W373" s="2"/>
      <c r="Y373" s="2"/>
      <c r="Z373" s="2"/>
      <c r="AA373" s="2"/>
    </row>
    <row r="374" spans="1:27" x14ac:dyDescent="0.25">
      <c r="A374" s="3"/>
      <c r="B374" s="3"/>
      <c r="C374" s="3"/>
      <c r="E374" s="3"/>
      <c r="F374" s="3"/>
      <c r="G374" s="3"/>
      <c r="I374" s="3"/>
      <c r="J374" s="3"/>
      <c r="K374" s="3"/>
      <c r="M374" s="3"/>
      <c r="N374" s="3"/>
      <c r="O374" s="3"/>
      <c r="Q374" s="3"/>
      <c r="R374" s="3"/>
      <c r="S374" s="3"/>
      <c r="T374" s="3"/>
      <c r="U374" s="3"/>
      <c r="V374" s="2"/>
      <c r="W374" s="2"/>
      <c r="Y374" s="2"/>
      <c r="Z374" s="2"/>
      <c r="AA374" s="2"/>
    </row>
    <row r="375" spans="1:27" x14ac:dyDescent="0.25">
      <c r="A375" s="3"/>
      <c r="B375" s="3"/>
      <c r="C375" s="3"/>
      <c r="E375" s="3"/>
      <c r="F375" s="3"/>
      <c r="G375" s="3"/>
      <c r="I375" s="3"/>
      <c r="J375" s="3"/>
      <c r="K375" s="3"/>
      <c r="M375" s="3"/>
      <c r="N375" s="3"/>
      <c r="O375" s="3"/>
      <c r="Q375" s="3"/>
      <c r="R375" s="3"/>
      <c r="S375" s="3"/>
      <c r="T375" s="3"/>
      <c r="U375" s="3"/>
      <c r="V375" s="2"/>
      <c r="W375" s="2"/>
      <c r="Y375" s="2"/>
      <c r="Z375" s="2"/>
      <c r="AA375" s="2"/>
    </row>
    <row r="376" spans="1:27" x14ac:dyDescent="0.25">
      <c r="A376" s="3"/>
      <c r="B376" s="3"/>
      <c r="C376" s="3"/>
      <c r="E376" s="3"/>
      <c r="F376" s="3"/>
      <c r="G376" s="3"/>
      <c r="I376" s="3"/>
      <c r="J376" s="3"/>
      <c r="K376" s="3"/>
      <c r="M376" s="3"/>
      <c r="N376" s="3"/>
      <c r="O376" s="3"/>
      <c r="Q376" s="3"/>
      <c r="R376" s="3"/>
      <c r="S376" s="3"/>
      <c r="T376" s="3"/>
      <c r="U376" s="3"/>
      <c r="V376" s="2"/>
      <c r="W376" s="2"/>
      <c r="Y376" s="2"/>
      <c r="Z376" s="2"/>
      <c r="AA376" s="2"/>
    </row>
    <row r="377" spans="1:27" x14ac:dyDescent="0.25">
      <c r="A377" s="3"/>
      <c r="B377" s="3"/>
      <c r="C377" s="3"/>
      <c r="E377" s="3"/>
      <c r="F377" s="3"/>
      <c r="G377" s="3"/>
      <c r="I377" s="3"/>
      <c r="J377" s="3"/>
      <c r="K377" s="3"/>
      <c r="M377" s="3"/>
      <c r="N377" s="3"/>
      <c r="O377" s="3"/>
      <c r="Q377" s="3"/>
      <c r="R377" s="3"/>
      <c r="S377" s="3"/>
      <c r="T377" s="3"/>
      <c r="U377" s="3"/>
      <c r="V377" s="2"/>
      <c r="W377" s="2"/>
      <c r="Y377" s="2"/>
      <c r="Z377" s="2"/>
      <c r="AA377" s="2"/>
    </row>
    <row r="378" spans="1:27" x14ac:dyDescent="0.25">
      <c r="A378" s="3"/>
      <c r="B378" s="3"/>
      <c r="C378" s="3"/>
      <c r="E378" s="3"/>
      <c r="F378" s="3"/>
      <c r="G378" s="3"/>
      <c r="I378" s="3"/>
      <c r="J378" s="3"/>
      <c r="K378" s="3"/>
      <c r="M378" s="3"/>
      <c r="N378" s="3"/>
      <c r="O378" s="3"/>
      <c r="Q378" s="3"/>
      <c r="R378" s="3"/>
      <c r="S378" s="3"/>
      <c r="T378" s="3"/>
      <c r="U378" s="3"/>
      <c r="V378" s="2"/>
      <c r="W378" s="2"/>
      <c r="Y378" s="2"/>
      <c r="Z378" s="2"/>
      <c r="AA378" s="2"/>
    </row>
    <row r="379" spans="1:27" x14ac:dyDescent="0.25">
      <c r="A379" s="3"/>
      <c r="B379" s="3"/>
      <c r="C379" s="3"/>
      <c r="E379" s="3"/>
      <c r="F379" s="3"/>
      <c r="G379" s="3"/>
      <c r="I379" s="3"/>
      <c r="J379" s="3"/>
      <c r="K379" s="3"/>
      <c r="M379" s="3"/>
      <c r="N379" s="3"/>
      <c r="O379" s="3"/>
      <c r="Q379" s="3"/>
      <c r="R379" s="3"/>
      <c r="S379" s="3"/>
      <c r="T379" s="3"/>
      <c r="U379" s="3"/>
      <c r="V379" s="2"/>
      <c r="W379" s="2"/>
      <c r="Y379" s="2"/>
      <c r="Z379" s="2"/>
      <c r="AA379" s="2"/>
    </row>
    <row r="380" spans="1:27" x14ac:dyDescent="0.25">
      <c r="A380" s="3"/>
      <c r="B380" s="3"/>
      <c r="C380" s="3"/>
      <c r="E380" s="3"/>
      <c r="F380" s="3"/>
      <c r="G380" s="3"/>
      <c r="I380" s="3"/>
      <c r="J380" s="3"/>
      <c r="K380" s="3"/>
      <c r="M380" s="3"/>
      <c r="N380" s="3"/>
      <c r="O380" s="3"/>
      <c r="Q380" s="3"/>
      <c r="R380" s="3"/>
      <c r="S380" s="3"/>
      <c r="T380" s="3"/>
      <c r="U380" s="3"/>
      <c r="V380" s="2"/>
      <c r="W380" s="2"/>
      <c r="Y380" s="2"/>
      <c r="Z380" s="2"/>
      <c r="AA380" s="2"/>
    </row>
    <row r="381" spans="1:27" x14ac:dyDescent="0.25">
      <c r="A381" s="3"/>
      <c r="B381" s="3"/>
      <c r="C381" s="3"/>
      <c r="E381" s="3"/>
      <c r="F381" s="3"/>
      <c r="G381" s="3"/>
      <c r="I381" s="3"/>
      <c r="J381" s="3"/>
      <c r="K381" s="3"/>
      <c r="M381" s="3"/>
      <c r="N381" s="3"/>
      <c r="O381" s="3"/>
      <c r="Q381" s="3"/>
      <c r="R381" s="3"/>
      <c r="S381" s="3"/>
      <c r="T381" s="3"/>
      <c r="U381" s="3"/>
      <c r="V381" s="2"/>
      <c r="W381" s="2"/>
      <c r="Y381" s="2"/>
      <c r="Z381" s="2"/>
      <c r="AA381" s="2"/>
    </row>
    <row r="382" spans="1:27" x14ac:dyDescent="0.25">
      <c r="A382" s="3"/>
      <c r="B382" s="3"/>
      <c r="C382" s="3"/>
      <c r="E382" s="3"/>
      <c r="F382" s="3"/>
      <c r="G382" s="3"/>
      <c r="I382" s="3"/>
      <c r="J382" s="3"/>
      <c r="K382" s="3"/>
      <c r="M382" s="3"/>
      <c r="N382" s="3"/>
      <c r="O382" s="3"/>
      <c r="Q382" s="3"/>
      <c r="R382" s="3"/>
      <c r="S382" s="3"/>
      <c r="T382" s="3"/>
      <c r="U382" s="3"/>
      <c r="V382" s="2"/>
      <c r="W382" s="2"/>
      <c r="Y382" s="2"/>
      <c r="Z382" s="2"/>
      <c r="AA382" s="2"/>
    </row>
    <row r="383" spans="1:27" x14ac:dyDescent="0.25">
      <c r="A383" s="3"/>
      <c r="B383" s="3"/>
      <c r="C383" s="3"/>
      <c r="E383" s="3"/>
      <c r="F383" s="3"/>
      <c r="G383" s="3"/>
      <c r="I383" s="3"/>
      <c r="J383" s="3"/>
      <c r="K383" s="3"/>
      <c r="M383" s="3"/>
      <c r="N383" s="3"/>
      <c r="O383" s="3"/>
      <c r="Q383" s="3"/>
      <c r="R383" s="3"/>
      <c r="S383" s="3"/>
      <c r="T383" s="3"/>
      <c r="U383" s="3"/>
      <c r="V383" s="2"/>
      <c r="W383" s="2"/>
      <c r="Y383" s="2"/>
      <c r="Z383" s="2"/>
      <c r="AA383" s="2"/>
    </row>
    <row r="384" spans="1:27" x14ac:dyDescent="0.25">
      <c r="A384" s="3"/>
      <c r="B384" s="3"/>
      <c r="C384" s="3"/>
      <c r="E384" s="3"/>
      <c r="F384" s="3"/>
      <c r="G384" s="3"/>
      <c r="I384" s="3"/>
      <c r="J384" s="3"/>
      <c r="K384" s="3"/>
      <c r="M384" s="3"/>
      <c r="N384" s="3"/>
      <c r="O384" s="3"/>
      <c r="Q384" s="3"/>
      <c r="R384" s="3"/>
      <c r="S384" s="3"/>
      <c r="T384" s="3"/>
      <c r="U384" s="3"/>
      <c r="V384" s="2"/>
      <c r="W384" s="2"/>
      <c r="Y384" s="2"/>
      <c r="Z384" s="2"/>
      <c r="AA384" s="2"/>
    </row>
    <row r="385" spans="1:27" x14ac:dyDescent="0.25">
      <c r="A385" s="3"/>
      <c r="B385" s="3"/>
      <c r="C385" s="3"/>
      <c r="E385" s="3"/>
      <c r="F385" s="3"/>
      <c r="G385" s="3"/>
      <c r="I385" s="3"/>
      <c r="J385" s="3"/>
      <c r="K385" s="3"/>
      <c r="M385" s="3"/>
      <c r="N385" s="3"/>
      <c r="O385" s="3"/>
      <c r="Q385" s="3"/>
      <c r="R385" s="3"/>
      <c r="S385" s="3"/>
      <c r="T385" s="3"/>
      <c r="U385" s="3"/>
      <c r="V385" s="2"/>
      <c r="W385" s="2"/>
      <c r="Y385" s="2"/>
      <c r="Z385" s="2"/>
      <c r="AA385" s="2"/>
    </row>
    <row r="386" spans="1:27" x14ac:dyDescent="0.25">
      <c r="A386" s="3"/>
      <c r="B386" s="3"/>
      <c r="C386" s="3"/>
      <c r="E386" s="3"/>
      <c r="F386" s="3"/>
      <c r="G386" s="3"/>
      <c r="I386" s="3"/>
      <c r="J386" s="3"/>
      <c r="K386" s="3"/>
      <c r="M386" s="3"/>
      <c r="N386" s="3"/>
      <c r="O386" s="3"/>
      <c r="Q386" s="3"/>
      <c r="R386" s="3"/>
      <c r="S386" s="3"/>
      <c r="T386" s="3"/>
      <c r="U386" s="3"/>
      <c r="V386" s="2"/>
      <c r="W386" s="2"/>
      <c r="Y386" s="2"/>
      <c r="Z386" s="2"/>
      <c r="AA386" s="2"/>
    </row>
    <row r="387" spans="1:27" x14ac:dyDescent="0.25">
      <c r="A387" s="3"/>
      <c r="B387" s="3"/>
      <c r="C387" s="3"/>
      <c r="E387" s="3"/>
      <c r="F387" s="3"/>
      <c r="G387" s="3"/>
      <c r="I387" s="3"/>
      <c r="J387" s="3"/>
      <c r="K387" s="3"/>
      <c r="M387" s="3"/>
      <c r="N387" s="3"/>
      <c r="O387" s="3"/>
      <c r="Q387" s="3"/>
      <c r="R387" s="3"/>
      <c r="S387" s="3"/>
      <c r="T387" s="3"/>
      <c r="U387" s="3"/>
      <c r="V387" s="2"/>
      <c r="W387" s="2"/>
      <c r="Y387" s="2"/>
      <c r="Z387" s="2"/>
      <c r="AA387" s="2"/>
    </row>
    <row r="388" spans="1:27" x14ac:dyDescent="0.25">
      <c r="A388" s="3"/>
      <c r="B388" s="3"/>
      <c r="C388" s="3"/>
      <c r="E388" s="3"/>
      <c r="F388" s="3"/>
      <c r="G388" s="3"/>
      <c r="I388" s="3"/>
      <c r="J388" s="3"/>
      <c r="K388" s="3"/>
      <c r="M388" s="3"/>
      <c r="N388" s="3"/>
      <c r="O388" s="3"/>
      <c r="Q388" s="3"/>
      <c r="R388" s="3"/>
      <c r="S388" s="3"/>
      <c r="T388" s="3"/>
      <c r="U388" s="3"/>
      <c r="V388" s="2"/>
      <c r="W388" s="2"/>
      <c r="Y388" s="2"/>
      <c r="Z388" s="2"/>
      <c r="AA388" s="2"/>
    </row>
    <row r="389" spans="1:27" x14ac:dyDescent="0.25">
      <c r="A389" s="3"/>
      <c r="B389" s="3"/>
      <c r="C389" s="3"/>
      <c r="E389" s="3"/>
      <c r="F389" s="3"/>
      <c r="G389" s="3"/>
      <c r="I389" s="3"/>
      <c r="J389" s="3"/>
      <c r="K389" s="3"/>
      <c r="M389" s="3"/>
      <c r="N389" s="3"/>
      <c r="O389" s="3"/>
      <c r="Q389" s="3"/>
      <c r="R389" s="3"/>
      <c r="S389" s="3"/>
      <c r="T389" s="3"/>
      <c r="U389" s="3"/>
      <c r="V389" s="2"/>
      <c r="W389" s="2"/>
      <c r="Y389" s="2"/>
      <c r="Z389" s="2"/>
      <c r="AA389" s="2"/>
    </row>
    <row r="390" spans="1:27" x14ac:dyDescent="0.25">
      <c r="A390" s="3"/>
      <c r="B390" s="3"/>
      <c r="C390" s="3"/>
      <c r="E390" s="3"/>
      <c r="F390" s="3"/>
      <c r="G390" s="3"/>
      <c r="I390" s="3"/>
      <c r="J390" s="3"/>
      <c r="K390" s="3"/>
      <c r="M390" s="3"/>
      <c r="N390" s="3"/>
      <c r="O390" s="3"/>
      <c r="Q390" s="3"/>
      <c r="R390" s="3"/>
      <c r="S390" s="3"/>
      <c r="T390" s="3"/>
      <c r="U390" s="3"/>
      <c r="V390" s="2"/>
      <c r="W390" s="2"/>
      <c r="Y390" s="2"/>
      <c r="Z390" s="2"/>
      <c r="AA390" s="2"/>
    </row>
    <row r="391" spans="1:27" x14ac:dyDescent="0.25">
      <c r="A391" s="3"/>
      <c r="B391" s="3"/>
      <c r="C391" s="3"/>
      <c r="E391" s="3"/>
      <c r="F391" s="3"/>
      <c r="G391" s="3"/>
      <c r="I391" s="3"/>
      <c r="J391" s="3"/>
      <c r="K391" s="3"/>
      <c r="M391" s="3"/>
      <c r="N391" s="3"/>
      <c r="O391" s="3"/>
      <c r="Q391" s="3"/>
      <c r="R391" s="3"/>
      <c r="S391" s="3"/>
      <c r="T391" s="3"/>
      <c r="U391" s="3"/>
      <c r="V391" s="2"/>
      <c r="W391" s="2"/>
      <c r="Y391" s="2"/>
      <c r="Z391" s="2"/>
      <c r="AA391" s="2"/>
    </row>
    <row r="392" spans="1:27" x14ac:dyDescent="0.25">
      <c r="A392" s="3"/>
      <c r="B392" s="3"/>
      <c r="C392" s="3"/>
      <c r="E392" s="3"/>
      <c r="F392" s="3"/>
      <c r="G392" s="3"/>
      <c r="I392" s="3"/>
      <c r="J392" s="3"/>
      <c r="K392" s="3"/>
      <c r="M392" s="3"/>
      <c r="N392" s="3"/>
      <c r="O392" s="3"/>
      <c r="Q392" s="3"/>
      <c r="R392" s="3"/>
      <c r="S392" s="3"/>
      <c r="T392" s="3"/>
      <c r="U392" s="3"/>
      <c r="V392" s="2"/>
      <c r="W392" s="2"/>
      <c r="Y392" s="2"/>
      <c r="Z392" s="2"/>
      <c r="AA392" s="2"/>
    </row>
    <row r="393" spans="1:27" x14ac:dyDescent="0.25">
      <c r="A393" s="3"/>
      <c r="B393" s="3"/>
      <c r="C393" s="3"/>
      <c r="E393" s="3"/>
      <c r="F393" s="3"/>
      <c r="G393" s="3"/>
      <c r="I393" s="3"/>
      <c r="J393" s="3"/>
      <c r="K393" s="3"/>
      <c r="M393" s="3"/>
      <c r="N393" s="3"/>
      <c r="O393" s="3"/>
      <c r="Q393" s="3"/>
      <c r="R393" s="3"/>
      <c r="S393" s="3"/>
      <c r="T393" s="3"/>
      <c r="U393" s="3"/>
      <c r="V393" s="2"/>
      <c r="W393" s="2"/>
      <c r="Y393" s="2"/>
      <c r="Z393" s="2"/>
      <c r="AA393" s="2"/>
    </row>
    <row r="394" spans="1:27" x14ac:dyDescent="0.25">
      <c r="A394" s="3"/>
      <c r="B394" s="3"/>
      <c r="C394" s="3"/>
      <c r="E394" s="3"/>
      <c r="F394" s="3"/>
      <c r="G394" s="3"/>
      <c r="I394" s="3"/>
      <c r="J394" s="3"/>
      <c r="K394" s="3"/>
      <c r="M394" s="3"/>
      <c r="N394" s="3"/>
      <c r="O394" s="3"/>
      <c r="Q394" s="3"/>
      <c r="R394" s="3"/>
      <c r="S394" s="3"/>
      <c r="T394" s="3"/>
      <c r="U394" s="3"/>
      <c r="V394" s="2"/>
      <c r="W394" s="2"/>
      <c r="Y394" s="2"/>
      <c r="Z394" s="2"/>
      <c r="AA394" s="2"/>
    </row>
    <row r="395" spans="1:27" x14ac:dyDescent="0.25">
      <c r="A395" s="3"/>
      <c r="B395" s="3"/>
      <c r="C395" s="3"/>
      <c r="E395" s="3"/>
      <c r="F395" s="3"/>
      <c r="G395" s="3"/>
      <c r="I395" s="3"/>
      <c r="J395" s="3"/>
      <c r="K395" s="3"/>
      <c r="M395" s="3"/>
      <c r="N395" s="3"/>
      <c r="O395" s="3"/>
      <c r="Q395" s="3"/>
      <c r="R395" s="3"/>
      <c r="S395" s="3"/>
      <c r="T395" s="3"/>
      <c r="U395" s="3"/>
      <c r="V395" s="2"/>
      <c r="W395" s="2"/>
      <c r="Y395" s="2"/>
      <c r="Z395" s="2"/>
      <c r="AA395" s="2"/>
    </row>
    <row r="396" spans="1:27" x14ac:dyDescent="0.25">
      <c r="A396" s="3"/>
      <c r="B396" s="3"/>
      <c r="C396" s="3"/>
      <c r="E396" s="3"/>
      <c r="F396" s="3"/>
      <c r="G396" s="3"/>
      <c r="I396" s="3"/>
      <c r="J396" s="3"/>
      <c r="K396" s="3"/>
      <c r="M396" s="3"/>
      <c r="N396" s="3"/>
      <c r="O396" s="3"/>
      <c r="Q396" s="3"/>
      <c r="R396" s="3"/>
      <c r="S396" s="3"/>
      <c r="T396" s="3"/>
      <c r="U396" s="3"/>
      <c r="V396" s="2"/>
      <c r="W396" s="2"/>
      <c r="Y396" s="2"/>
      <c r="Z396" s="2"/>
      <c r="AA396" s="2"/>
    </row>
    <row r="397" spans="1:27" x14ac:dyDescent="0.25">
      <c r="A397" s="3"/>
      <c r="B397" s="3"/>
      <c r="C397" s="3"/>
      <c r="E397" s="3"/>
      <c r="F397" s="3"/>
      <c r="G397" s="3"/>
      <c r="I397" s="3"/>
      <c r="J397" s="3"/>
      <c r="K397" s="3"/>
      <c r="M397" s="3"/>
      <c r="N397" s="3"/>
      <c r="O397" s="3"/>
      <c r="Q397" s="3"/>
      <c r="R397" s="3"/>
      <c r="S397" s="3"/>
      <c r="T397" s="3"/>
      <c r="U397" s="3"/>
      <c r="V397" s="2"/>
      <c r="W397" s="2"/>
      <c r="Y397" s="2"/>
      <c r="Z397" s="2"/>
      <c r="AA397" s="2"/>
    </row>
    <row r="398" spans="1:27" x14ac:dyDescent="0.25">
      <c r="A398" s="3"/>
      <c r="B398" s="3"/>
      <c r="C398" s="3"/>
      <c r="E398" s="3"/>
      <c r="F398" s="3"/>
      <c r="G398" s="3"/>
      <c r="I398" s="3"/>
      <c r="J398" s="3"/>
      <c r="K398" s="3"/>
      <c r="M398" s="3"/>
      <c r="N398" s="3"/>
      <c r="O398" s="3"/>
      <c r="Q398" s="3"/>
      <c r="R398" s="3"/>
      <c r="S398" s="3"/>
      <c r="T398" s="3"/>
      <c r="U398" s="3"/>
      <c r="V398" s="2"/>
      <c r="W398" s="2"/>
      <c r="Y398" s="2"/>
      <c r="Z398" s="2"/>
      <c r="AA398" s="2"/>
    </row>
    <row r="399" spans="1:27" x14ac:dyDescent="0.25">
      <c r="A399" s="3"/>
      <c r="B399" s="3"/>
      <c r="C399" s="3"/>
      <c r="E399" s="3"/>
      <c r="F399" s="3"/>
      <c r="G399" s="3"/>
      <c r="I399" s="3"/>
      <c r="J399" s="3"/>
      <c r="K399" s="3"/>
      <c r="M399" s="3"/>
      <c r="N399" s="3"/>
      <c r="O399" s="3"/>
      <c r="Q399" s="3"/>
      <c r="R399" s="3"/>
      <c r="S399" s="3"/>
      <c r="T399" s="3"/>
      <c r="U399" s="3"/>
      <c r="V399" s="2"/>
      <c r="W399" s="2"/>
      <c r="Y399" s="2"/>
      <c r="Z399" s="2"/>
      <c r="AA399" s="2"/>
    </row>
    <row r="400" spans="1:27" x14ac:dyDescent="0.25">
      <c r="A400" s="3"/>
      <c r="B400" s="3"/>
      <c r="C400" s="3"/>
      <c r="E400" s="3"/>
      <c r="F400" s="3"/>
      <c r="G400" s="3"/>
      <c r="I400" s="3"/>
      <c r="J400" s="3"/>
      <c r="K400" s="3"/>
      <c r="M400" s="3"/>
      <c r="N400" s="3"/>
      <c r="O400" s="3"/>
      <c r="Q400" s="3"/>
      <c r="R400" s="3"/>
      <c r="S400" s="3"/>
      <c r="T400" s="3"/>
      <c r="U400" s="3"/>
      <c r="V400" s="2"/>
      <c r="W400" s="2"/>
      <c r="Y400" s="2"/>
      <c r="Z400" s="2"/>
      <c r="AA400" s="2"/>
    </row>
    <row r="401" spans="1:27" x14ac:dyDescent="0.25">
      <c r="A401" s="3"/>
      <c r="B401" s="3"/>
      <c r="C401" s="3"/>
      <c r="E401" s="3"/>
      <c r="F401" s="3"/>
      <c r="G401" s="3"/>
      <c r="I401" s="3"/>
      <c r="J401" s="3"/>
      <c r="K401" s="3"/>
      <c r="M401" s="3"/>
      <c r="N401" s="3"/>
      <c r="O401" s="3"/>
      <c r="Q401" s="3"/>
      <c r="R401" s="3"/>
      <c r="S401" s="3"/>
      <c r="T401" s="3"/>
      <c r="U401" s="3"/>
      <c r="V401" s="2"/>
      <c r="W401" s="2"/>
      <c r="Y401" s="2"/>
      <c r="Z401" s="2"/>
      <c r="AA401" s="2"/>
    </row>
    <row r="402" spans="1:27" x14ac:dyDescent="0.25">
      <c r="A402" s="3"/>
      <c r="B402" s="3"/>
      <c r="C402" s="3"/>
      <c r="E402" s="3"/>
      <c r="F402" s="3"/>
      <c r="G402" s="3"/>
      <c r="I402" s="3"/>
      <c r="J402" s="3"/>
      <c r="K402" s="3"/>
      <c r="M402" s="3"/>
      <c r="N402" s="3"/>
      <c r="O402" s="3"/>
      <c r="Q402" s="3"/>
      <c r="R402" s="3"/>
      <c r="S402" s="3"/>
      <c r="T402" s="3"/>
      <c r="U402" s="3"/>
      <c r="V402" s="2"/>
      <c r="W402" s="2"/>
      <c r="Y402" s="2"/>
      <c r="Z402" s="2"/>
      <c r="AA402" s="2"/>
    </row>
    <row r="403" spans="1:27" x14ac:dyDescent="0.25">
      <c r="A403" s="3"/>
      <c r="B403" s="3"/>
      <c r="C403" s="3"/>
      <c r="E403" s="3"/>
      <c r="F403" s="3"/>
      <c r="G403" s="3"/>
      <c r="I403" s="3"/>
      <c r="J403" s="3"/>
      <c r="K403" s="3"/>
      <c r="M403" s="3"/>
      <c r="N403" s="3"/>
      <c r="O403" s="3"/>
      <c r="Q403" s="3"/>
      <c r="R403" s="3"/>
      <c r="S403" s="3"/>
      <c r="T403" s="3"/>
      <c r="U403" s="3"/>
      <c r="V403" s="2"/>
      <c r="W403" s="2"/>
      <c r="Y403" s="2"/>
      <c r="Z403" s="2"/>
      <c r="AA403" s="2"/>
    </row>
    <row r="404" spans="1:27" x14ac:dyDescent="0.25">
      <c r="A404" s="3"/>
      <c r="B404" s="3"/>
      <c r="C404" s="3"/>
      <c r="E404" s="3"/>
      <c r="F404" s="3"/>
      <c r="G404" s="3"/>
      <c r="I404" s="3"/>
      <c r="J404" s="3"/>
      <c r="K404" s="3"/>
      <c r="M404" s="3"/>
      <c r="N404" s="3"/>
      <c r="O404" s="3"/>
      <c r="Q404" s="3"/>
      <c r="R404" s="3"/>
      <c r="S404" s="3"/>
      <c r="T404" s="3"/>
      <c r="U404" s="3"/>
      <c r="V404" s="2"/>
      <c r="W404" s="2"/>
      <c r="Y404" s="2"/>
      <c r="Z404" s="2"/>
      <c r="AA404" s="2"/>
    </row>
    <row r="405" spans="1:27" x14ac:dyDescent="0.25">
      <c r="A405" s="3"/>
      <c r="B405" s="3"/>
      <c r="C405" s="3"/>
      <c r="E405" s="3"/>
      <c r="F405" s="3"/>
      <c r="G405" s="3"/>
      <c r="I405" s="3"/>
      <c r="J405" s="3"/>
      <c r="K405" s="3"/>
      <c r="M405" s="3"/>
      <c r="N405" s="3"/>
      <c r="O405" s="3"/>
      <c r="Q405" s="3"/>
      <c r="R405" s="3"/>
      <c r="S405" s="3"/>
      <c r="T405" s="3"/>
      <c r="U405" s="3"/>
      <c r="V405" s="2"/>
      <c r="W405" s="2"/>
      <c r="Y405" s="2"/>
      <c r="Z405" s="2"/>
      <c r="AA405" s="2"/>
    </row>
    <row r="406" spans="1:27" x14ac:dyDescent="0.25">
      <c r="A406" s="3"/>
      <c r="B406" s="3"/>
      <c r="C406" s="3"/>
      <c r="E406" s="3"/>
      <c r="F406" s="3"/>
      <c r="G406" s="3"/>
      <c r="I406" s="3"/>
      <c r="J406" s="3"/>
      <c r="K406" s="3"/>
      <c r="M406" s="3"/>
      <c r="N406" s="3"/>
      <c r="O406" s="3"/>
      <c r="Q406" s="3"/>
      <c r="R406" s="3"/>
      <c r="S406" s="3"/>
      <c r="T406" s="3"/>
      <c r="U406" s="3"/>
      <c r="V406" s="2"/>
      <c r="W406" s="2"/>
      <c r="Y406" s="2"/>
      <c r="Z406" s="2"/>
      <c r="AA406" s="2"/>
    </row>
    <row r="407" spans="1:27" x14ac:dyDescent="0.25">
      <c r="A407" s="3"/>
      <c r="B407" s="3"/>
      <c r="C407" s="3"/>
      <c r="E407" s="3"/>
      <c r="F407" s="3"/>
      <c r="G407" s="3"/>
      <c r="I407" s="3"/>
      <c r="J407" s="3"/>
      <c r="K407" s="3"/>
      <c r="M407" s="3"/>
      <c r="N407" s="3"/>
      <c r="O407" s="3"/>
      <c r="Q407" s="3"/>
      <c r="R407" s="3"/>
      <c r="S407" s="3"/>
      <c r="T407" s="3"/>
      <c r="U407" s="3"/>
      <c r="V407" s="2"/>
      <c r="W407" s="2"/>
      <c r="Y407" s="2"/>
      <c r="Z407" s="2"/>
      <c r="AA407" s="2"/>
    </row>
    <row r="408" spans="1:27" x14ac:dyDescent="0.25">
      <c r="A408" s="3"/>
      <c r="B408" s="3"/>
      <c r="C408" s="3"/>
      <c r="E408" s="3"/>
      <c r="F408" s="3"/>
      <c r="G408" s="3"/>
      <c r="I408" s="3"/>
      <c r="J408" s="3"/>
      <c r="K408" s="3"/>
      <c r="M408" s="3"/>
      <c r="N408" s="3"/>
      <c r="O408" s="3"/>
      <c r="Q408" s="3"/>
      <c r="R408" s="3"/>
      <c r="S408" s="3"/>
      <c r="T408" s="3"/>
      <c r="U408" s="3"/>
      <c r="V408" s="2"/>
      <c r="W408" s="2"/>
      <c r="Y408" s="2"/>
      <c r="Z408" s="2"/>
      <c r="AA408" s="2"/>
    </row>
    <row r="409" spans="1:27" x14ac:dyDescent="0.25">
      <c r="A409" s="3"/>
      <c r="B409" s="3"/>
      <c r="C409" s="3"/>
      <c r="E409" s="3"/>
      <c r="F409" s="3"/>
      <c r="G409" s="3"/>
      <c r="I409" s="3"/>
      <c r="J409" s="3"/>
      <c r="K409" s="3"/>
      <c r="M409" s="3"/>
      <c r="N409" s="3"/>
      <c r="O409" s="3"/>
      <c r="Q409" s="3"/>
      <c r="R409" s="3"/>
      <c r="S409" s="3"/>
      <c r="T409" s="3"/>
      <c r="U409" s="3"/>
      <c r="V409" s="2"/>
      <c r="W409" s="2"/>
      <c r="Y409" s="2"/>
      <c r="Z409" s="2"/>
      <c r="AA409" s="2"/>
    </row>
    <row r="410" spans="1:27" x14ac:dyDescent="0.25">
      <c r="A410" s="3"/>
      <c r="B410" s="3"/>
      <c r="C410" s="3"/>
      <c r="E410" s="3"/>
      <c r="F410" s="3"/>
      <c r="G410" s="3"/>
      <c r="I410" s="3"/>
      <c r="J410" s="3"/>
      <c r="K410" s="3"/>
      <c r="M410" s="3"/>
      <c r="N410" s="3"/>
      <c r="O410" s="3"/>
      <c r="Q410" s="3"/>
      <c r="R410" s="3"/>
      <c r="S410" s="3"/>
      <c r="T410" s="3"/>
      <c r="U410" s="3"/>
      <c r="V410" s="2"/>
      <c r="W410" s="2"/>
      <c r="Y410" s="2"/>
      <c r="Z410" s="2"/>
      <c r="AA410" s="2"/>
    </row>
    <row r="411" spans="1:27" x14ac:dyDescent="0.25">
      <c r="A411" s="3"/>
      <c r="B411" s="3"/>
      <c r="C411" s="3"/>
      <c r="E411" s="3"/>
      <c r="F411" s="3"/>
      <c r="G411" s="3"/>
      <c r="I411" s="3"/>
      <c r="J411" s="3"/>
      <c r="K411" s="3"/>
      <c r="M411" s="3"/>
      <c r="N411" s="3"/>
      <c r="O411" s="3"/>
      <c r="Q411" s="3"/>
      <c r="R411" s="3"/>
      <c r="S411" s="3"/>
      <c r="T411" s="3"/>
      <c r="U411" s="3"/>
      <c r="V411" s="2"/>
      <c r="W411" s="2"/>
      <c r="Y411" s="2"/>
      <c r="Z411" s="2"/>
      <c r="AA411" s="2"/>
    </row>
    <row r="412" spans="1:27" x14ac:dyDescent="0.25">
      <c r="A412" s="3"/>
      <c r="B412" s="3"/>
      <c r="C412" s="3"/>
      <c r="E412" s="3"/>
      <c r="F412" s="3"/>
      <c r="G412" s="3"/>
      <c r="I412" s="3"/>
      <c r="J412" s="3"/>
      <c r="K412" s="3"/>
      <c r="M412" s="3"/>
      <c r="N412" s="3"/>
      <c r="O412" s="3"/>
      <c r="Q412" s="3"/>
      <c r="R412" s="3"/>
      <c r="S412" s="3"/>
      <c r="T412" s="3"/>
      <c r="U412" s="3"/>
      <c r="V412" s="2"/>
      <c r="W412" s="2"/>
      <c r="Y412" s="2"/>
      <c r="Z412" s="2"/>
      <c r="AA412" s="2"/>
    </row>
    <row r="413" spans="1:27" x14ac:dyDescent="0.25">
      <c r="A413" s="3"/>
      <c r="B413" s="3"/>
      <c r="C413" s="3"/>
      <c r="E413" s="3"/>
      <c r="F413" s="3"/>
      <c r="G413" s="3"/>
      <c r="I413" s="3"/>
      <c r="J413" s="3"/>
      <c r="K413" s="3"/>
      <c r="M413" s="3"/>
      <c r="N413" s="3"/>
      <c r="O413" s="3"/>
      <c r="Q413" s="3"/>
      <c r="R413" s="3"/>
      <c r="S413" s="3"/>
      <c r="T413" s="3"/>
      <c r="U413" s="3"/>
      <c r="V413" s="2"/>
      <c r="W413" s="2"/>
      <c r="Y413" s="2"/>
      <c r="Z413" s="2"/>
      <c r="AA413" s="2"/>
    </row>
    <row r="414" spans="1:27" x14ac:dyDescent="0.25">
      <c r="A414" s="3"/>
      <c r="B414" s="3"/>
      <c r="C414" s="3"/>
      <c r="E414" s="3"/>
      <c r="F414" s="3"/>
      <c r="G414" s="3"/>
      <c r="I414" s="3"/>
      <c r="J414" s="3"/>
      <c r="K414" s="3"/>
      <c r="M414" s="3"/>
      <c r="N414" s="3"/>
      <c r="O414" s="3"/>
      <c r="Q414" s="3"/>
      <c r="R414" s="3"/>
      <c r="S414" s="3"/>
      <c r="T414" s="3"/>
      <c r="U414" s="3"/>
      <c r="V414" s="2"/>
      <c r="W414" s="2"/>
      <c r="Y414" s="2"/>
      <c r="Z414" s="2"/>
      <c r="AA414" s="2"/>
    </row>
    <row r="415" spans="1:27" x14ac:dyDescent="0.25">
      <c r="A415" s="3"/>
      <c r="B415" s="3"/>
      <c r="C415" s="3"/>
      <c r="E415" s="3"/>
      <c r="F415" s="3"/>
      <c r="G415" s="3"/>
      <c r="I415" s="3"/>
      <c r="J415" s="3"/>
      <c r="K415" s="3"/>
      <c r="M415" s="3"/>
      <c r="N415" s="3"/>
      <c r="O415" s="3"/>
      <c r="Q415" s="3"/>
      <c r="R415" s="3"/>
      <c r="S415" s="3"/>
      <c r="T415" s="3"/>
      <c r="U415" s="3"/>
      <c r="V415" s="2"/>
      <c r="W415" s="2"/>
      <c r="Y415" s="2"/>
      <c r="Z415" s="2"/>
      <c r="AA415" s="2"/>
    </row>
    <row r="416" spans="1:27" x14ac:dyDescent="0.25">
      <c r="A416" s="3"/>
      <c r="B416" s="3"/>
      <c r="C416" s="3"/>
      <c r="E416" s="3"/>
      <c r="F416" s="3"/>
      <c r="G416" s="3"/>
      <c r="I416" s="3"/>
      <c r="J416" s="3"/>
      <c r="K416" s="3"/>
      <c r="M416" s="3"/>
      <c r="N416" s="3"/>
      <c r="O416" s="3"/>
      <c r="Q416" s="3"/>
      <c r="R416" s="3"/>
      <c r="S416" s="3"/>
      <c r="T416" s="3"/>
      <c r="U416" s="3"/>
      <c r="V416" s="2"/>
      <c r="W416" s="2"/>
      <c r="Y416" s="2"/>
      <c r="Z416" s="2"/>
      <c r="AA416" s="2"/>
    </row>
    <row r="417" spans="1:27" x14ac:dyDescent="0.25">
      <c r="A417" s="3"/>
      <c r="B417" s="3"/>
      <c r="C417" s="3"/>
      <c r="E417" s="3"/>
      <c r="F417" s="3"/>
      <c r="G417" s="3"/>
      <c r="I417" s="3"/>
      <c r="J417" s="3"/>
      <c r="K417" s="3"/>
      <c r="M417" s="3"/>
      <c r="N417" s="3"/>
      <c r="O417" s="3"/>
      <c r="Q417" s="3"/>
      <c r="R417" s="3"/>
      <c r="S417" s="3"/>
      <c r="T417" s="3"/>
      <c r="U417" s="3"/>
      <c r="V417" s="2"/>
      <c r="W417" s="2"/>
      <c r="Y417" s="2"/>
      <c r="Z417" s="2"/>
      <c r="AA417" s="2"/>
    </row>
    <row r="418" spans="1:27" x14ac:dyDescent="0.25">
      <c r="A418" s="3"/>
      <c r="B418" s="3"/>
      <c r="C418" s="3"/>
      <c r="E418" s="3"/>
      <c r="F418" s="3"/>
      <c r="G418" s="3"/>
      <c r="I418" s="3"/>
      <c r="J418" s="3"/>
      <c r="K418" s="3"/>
      <c r="M418" s="3"/>
      <c r="N418" s="3"/>
      <c r="O418" s="3"/>
      <c r="Q418" s="3"/>
      <c r="R418" s="3"/>
      <c r="S418" s="3"/>
      <c r="T418" s="3"/>
      <c r="U418" s="3"/>
      <c r="V418" s="2"/>
      <c r="W418" s="2"/>
      <c r="Y418" s="2"/>
      <c r="Z418" s="2"/>
      <c r="AA418" s="2"/>
    </row>
    <row r="419" spans="1:27" x14ac:dyDescent="0.25">
      <c r="A419" s="3"/>
      <c r="B419" s="3"/>
      <c r="C419" s="3"/>
      <c r="E419" s="3"/>
      <c r="F419" s="3"/>
      <c r="G419" s="3"/>
      <c r="I419" s="3"/>
      <c r="J419" s="3"/>
      <c r="K419" s="3"/>
      <c r="M419" s="3"/>
      <c r="N419" s="3"/>
      <c r="O419" s="3"/>
      <c r="Q419" s="3"/>
      <c r="R419" s="3"/>
      <c r="S419" s="3"/>
      <c r="T419" s="3"/>
      <c r="U419" s="3"/>
      <c r="V419" s="2"/>
      <c r="W419" s="2"/>
      <c r="Y419" s="2"/>
      <c r="Z419" s="2"/>
      <c r="AA419" s="2"/>
    </row>
    <row r="420" spans="1:27" x14ac:dyDescent="0.25">
      <c r="A420" s="3"/>
      <c r="B420" s="3"/>
      <c r="C420" s="3"/>
      <c r="E420" s="3"/>
      <c r="F420" s="3"/>
      <c r="G420" s="3"/>
      <c r="I420" s="3"/>
      <c r="J420" s="3"/>
      <c r="K420" s="3"/>
      <c r="M420" s="3"/>
      <c r="N420" s="3"/>
      <c r="O420" s="3"/>
      <c r="Q420" s="3"/>
      <c r="R420" s="3"/>
      <c r="S420" s="3"/>
      <c r="T420" s="3"/>
      <c r="U420" s="3"/>
      <c r="V420" s="2"/>
      <c r="W420" s="2"/>
      <c r="Y420" s="2"/>
      <c r="Z420" s="2"/>
      <c r="AA420" s="2"/>
    </row>
    <row r="421" spans="1:27" x14ac:dyDescent="0.25">
      <c r="A421" s="3"/>
      <c r="B421" s="3"/>
      <c r="C421" s="3"/>
      <c r="E421" s="3"/>
      <c r="F421" s="3"/>
      <c r="G421" s="3"/>
      <c r="I421" s="3"/>
      <c r="J421" s="3"/>
      <c r="K421" s="3"/>
      <c r="M421" s="3"/>
      <c r="N421" s="3"/>
      <c r="O421" s="3"/>
      <c r="Q421" s="3"/>
      <c r="R421" s="3"/>
      <c r="S421" s="3"/>
      <c r="T421" s="3"/>
      <c r="U421" s="3"/>
      <c r="V421" s="2"/>
      <c r="W421" s="2"/>
      <c r="Y421" s="2"/>
      <c r="Z421" s="2"/>
      <c r="AA421" s="2"/>
    </row>
    <row r="422" spans="1:27" x14ac:dyDescent="0.25">
      <c r="A422" s="3"/>
      <c r="B422" s="3"/>
      <c r="C422" s="3"/>
      <c r="E422" s="3"/>
      <c r="F422" s="3"/>
      <c r="G422" s="3"/>
      <c r="I422" s="3"/>
      <c r="J422" s="3"/>
      <c r="K422" s="3"/>
      <c r="M422" s="3"/>
      <c r="N422" s="3"/>
      <c r="O422" s="3"/>
      <c r="Q422" s="3"/>
      <c r="R422" s="3"/>
      <c r="S422" s="3"/>
      <c r="T422" s="3"/>
      <c r="U422" s="3"/>
      <c r="V422" s="2"/>
      <c r="W422" s="2"/>
      <c r="Y422" s="2"/>
      <c r="Z422" s="2"/>
      <c r="AA422" s="2"/>
    </row>
    <row r="423" spans="1:27" x14ac:dyDescent="0.25">
      <c r="A423" s="3"/>
      <c r="B423" s="3"/>
      <c r="C423" s="3"/>
      <c r="E423" s="3"/>
      <c r="F423" s="3"/>
      <c r="G423" s="3"/>
      <c r="I423" s="3"/>
      <c r="J423" s="3"/>
      <c r="K423" s="3"/>
      <c r="M423" s="3"/>
      <c r="N423" s="3"/>
      <c r="O423" s="3"/>
      <c r="Q423" s="3"/>
      <c r="R423" s="3"/>
      <c r="S423" s="3"/>
      <c r="T423" s="3"/>
      <c r="U423" s="3"/>
      <c r="V423" s="2"/>
      <c r="W423" s="2"/>
      <c r="Y423" s="2"/>
      <c r="Z423" s="2"/>
      <c r="AA423" s="2"/>
    </row>
    <row r="424" spans="1:27" x14ac:dyDescent="0.25">
      <c r="A424" s="3"/>
      <c r="B424" s="3"/>
      <c r="C424" s="3"/>
      <c r="E424" s="3"/>
      <c r="F424" s="3"/>
      <c r="G424" s="3"/>
      <c r="I424" s="3"/>
      <c r="J424" s="3"/>
      <c r="K424" s="3"/>
      <c r="M424" s="3"/>
      <c r="N424" s="3"/>
      <c r="O424" s="3"/>
      <c r="Q424" s="3"/>
      <c r="R424" s="3"/>
      <c r="S424" s="3"/>
      <c r="T424" s="3"/>
      <c r="U424" s="3"/>
      <c r="V424" s="2"/>
      <c r="W424" s="2"/>
      <c r="Y424" s="2"/>
      <c r="Z424" s="2"/>
      <c r="AA424" s="2"/>
    </row>
    <row r="425" spans="1:27" x14ac:dyDescent="0.25">
      <c r="A425" s="3"/>
      <c r="B425" s="3"/>
      <c r="C425" s="3"/>
      <c r="E425" s="3"/>
      <c r="F425" s="3"/>
      <c r="G425" s="3"/>
      <c r="I425" s="3"/>
      <c r="J425" s="3"/>
      <c r="K425" s="3"/>
      <c r="M425" s="3"/>
      <c r="N425" s="3"/>
      <c r="O425" s="3"/>
      <c r="Q425" s="3"/>
      <c r="R425" s="3"/>
      <c r="S425" s="3"/>
      <c r="T425" s="3"/>
      <c r="U425" s="3"/>
      <c r="V425" s="2"/>
      <c r="W425" s="2"/>
      <c r="Y425" s="2"/>
      <c r="Z425" s="2"/>
      <c r="AA425" s="2"/>
    </row>
    <row r="426" spans="1:27" x14ac:dyDescent="0.25">
      <c r="A426" s="3"/>
      <c r="B426" s="3"/>
      <c r="C426" s="3"/>
      <c r="E426" s="3"/>
      <c r="F426" s="3"/>
      <c r="G426" s="3"/>
      <c r="I426" s="3"/>
      <c r="J426" s="3"/>
      <c r="K426" s="3"/>
      <c r="M426" s="3"/>
      <c r="N426" s="3"/>
      <c r="O426" s="3"/>
      <c r="Q426" s="3"/>
      <c r="R426" s="3"/>
      <c r="S426" s="3"/>
      <c r="T426" s="3"/>
      <c r="U426" s="3"/>
      <c r="V426" s="2"/>
      <c r="W426" s="2"/>
      <c r="Y426" s="2"/>
      <c r="Z426" s="2"/>
      <c r="AA426" s="2"/>
    </row>
    <row r="427" spans="1:27" x14ac:dyDescent="0.25">
      <c r="A427" s="3"/>
      <c r="B427" s="3"/>
      <c r="C427" s="3"/>
      <c r="E427" s="3"/>
      <c r="F427" s="3"/>
      <c r="G427" s="3"/>
      <c r="I427" s="3"/>
      <c r="J427" s="3"/>
      <c r="K427" s="3"/>
      <c r="M427" s="3"/>
      <c r="N427" s="3"/>
      <c r="O427" s="3"/>
      <c r="Q427" s="3"/>
      <c r="R427" s="3"/>
      <c r="S427" s="3"/>
      <c r="T427" s="3"/>
      <c r="U427" s="3"/>
      <c r="V427" s="2"/>
      <c r="W427" s="2"/>
      <c r="Y427" s="2"/>
      <c r="Z427" s="2"/>
      <c r="AA427" s="2"/>
    </row>
    <row r="428" spans="1:27" x14ac:dyDescent="0.25">
      <c r="A428" s="3"/>
      <c r="B428" s="3"/>
      <c r="C428" s="3"/>
      <c r="E428" s="3"/>
      <c r="F428" s="3"/>
      <c r="G428" s="3"/>
      <c r="I428" s="3"/>
      <c r="J428" s="3"/>
      <c r="K428" s="3"/>
      <c r="M428" s="3"/>
      <c r="N428" s="3"/>
      <c r="O428" s="3"/>
      <c r="Q428" s="3"/>
      <c r="R428" s="3"/>
      <c r="S428" s="3"/>
      <c r="T428" s="3"/>
      <c r="U428" s="3"/>
      <c r="V428" s="2"/>
      <c r="W428" s="2"/>
      <c r="Y428" s="2"/>
      <c r="Z428" s="2"/>
      <c r="AA428" s="2"/>
    </row>
    <row r="429" spans="1:27" x14ac:dyDescent="0.25">
      <c r="A429" s="3"/>
      <c r="B429" s="3"/>
      <c r="C429" s="3"/>
      <c r="E429" s="3"/>
      <c r="F429" s="3"/>
      <c r="G429" s="3"/>
      <c r="I429" s="3"/>
      <c r="J429" s="3"/>
      <c r="K429" s="3"/>
      <c r="M429" s="3"/>
      <c r="N429" s="3"/>
      <c r="O429" s="3"/>
      <c r="Q429" s="3"/>
      <c r="R429" s="3"/>
      <c r="S429" s="3"/>
      <c r="T429" s="3"/>
      <c r="U429" s="3"/>
      <c r="V429" s="2"/>
      <c r="W429" s="2"/>
      <c r="Y429" s="2"/>
      <c r="Z429" s="2"/>
      <c r="AA429" s="2"/>
    </row>
    <row r="430" spans="1:27" x14ac:dyDescent="0.25">
      <c r="A430" s="3"/>
      <c r="B430" s="3"/>
      <c r="C430" s="3"/>
      <c r="E430" s="3"/>
      <c r="F430" s="3"/>
      <c r="G430" s="3"/>
      <c r="I430" s="3"/>
      <c r="J430" s="3"/>
      <c r="K430" s="3"/>
      <c r="M430" s="3"/>
      <c r="N430" s="3"/>
      <c r="O430" s="3"/>
      <c r="Q430" s="3"/>
      <c r="R430" s="3"/>
      <c r="S430" s="3"/>
      <c r="T430" s="3"/>
      <c r="U430" s="3"/>
      <c r="V430" s="2"/>
      <c r="W430" s="2"/>
      <c r="Y430" s="2"/>
      <c r="Z430" s="2"/>
      <c r="AA430" s="2"/>
    </row>
    <row r="431" spans="1:27" x14ac:dyDescent="0.25">
      <c r="A431" s="3"/>
      <c r="B431" s="3"/>
      <c r="C431" s="3"/>
      <c r="E431" s="3"/>
      <c r="F431" s="3"/>
      <c r="G431" s="3"/>
      <c r="I431" s="3"/>
      <c r="J431" s="3"/>
      <c r="K431" s="3"/>
      <c r="M431" s="3"/>
      <c r="N431" s="3"/>
      <c r="O431" s="3"/>
      <c r="Q431" s="3"/>
      <c r="R431" s="3"/>
      <c r="S431" s="3"/>
      <c r="T431" s="3"/>
      <c r="U431" s="3"/>
      <c r="V431" s="2"/>
      <c r="W431" s="2"/>
      <c r="Y431" s="2"/>
      <c r="Z431" s="2"/>
      <c r="AA431" s="2"/>
    </row>
    <row r="432" spans="1:27" x14ac:dyDescent="0.25">
      <c r="A432" s="3"/>
      <c r="B432" s="3"/>
      <c r="C432" s="3"/>
      <c r="E432" s="3"/>
      <c r="F432" s="3"/>
      <c r="G432" s="3"/>
      <c r="I432" s="3"/>
      <c r="J432" s="3"/>
      <c r="K432" s="3"/>
      <c r="M432" s="3"/>
      <c r="N432" s="3"/>
      <c r="O432" s="3"/>
      <c r="Q432" s="3"/>
      <c r="R432" s="3"/>
      <c r="S432" s="3"/>
      <c r="T432" s="3"/>
      <c r="U432" s="3"/>
      <c r="V432" s="2"/>
      <c r="W432" s="2"/>
      <c r="Y432" s="2"/>
      <c r="Z432" s="2"/>
      <c r="AA432" s="2"/>
    </row>
    <row r="433" spans="1:27" x14ac:dyDescent="0.25">
      <c r="A433" s="3"/>
      <c r="B433" s="3"/>
      <c r="C433" s="3"/>
      <c r="E433" s="3"/>
      <c r="F433" s="3"/>
      <c r="G433" s="3"/>
      <c r="I433" s="3"/>
      <c r="J433" s="3"/>
      <c r="K433" s="3"/>
      <c r="M433" s="3"/>
      <c r="N433" s="3"/>
      <c r="O433" s="3"/>
      <c r="Q433" s="3"/>
      <c r="R433" s="3"/>
      <c r="S433" s="3"/>
      <c r="T433" s="3"/>
      <c r="U433" s="3"/>
      <c r="V433" s="2"/>
      <c r="W433" s="2"/>
      <c r="Y433" s="2"/>
      <c r="Z433" s="2"/>
      <c r="AA433" s="2"/>
    </row>
    <row r="434" spans="1:27" x14ac:dyDescent="0.25">
      <c r="A434" s="3"/>
      <c r="B434" s="3"/>
      <c r="C434" s="3"/>
      <c r="E434" s="3"/>
      <c r="F434" s="3"/>
      <c r="G434" s="3"/>
      <c r="I434" s="3"/>
      <c r="J434" s="3"/>
      <c r="K434" s="3"/>
      <c r="M434" s="3"/>
      <c r="N434" s="3"/>
      <c r="O434" s="3"/>
      <c r="Q434" s="3"/>
      <c r="R434" s="3"/>
      <c r="S434" s="3"/>
      <c r="T434" s="3"/>
      <c r="U434" s="3"/>
      <c r="V434" s="2"/>
      <c r="W434" s="2"/>
      <c r="Y434" s="2"/>
      <c r="Z434" s="2"/>
      <c r="AA434" s="2"/>
    </row>
    <row r="435" spans="1:27" x14ac:dyDescent="0.25">
      <c r="A435" s="3"/>
      <c r="B435" s="3"/>
      <c r="C435" s="3"/>
      <c r="E435" s="3"/>
      <c r="F435" s="3"/>
      <c r="G435" s="3"/>
      <c r="I435" s="3"/>
      <c r="J435" s="3"/>
      <c r="K435" s="3"/>
      <c r="M435" s="3"/>
      <c r="N435" s="3"/>
      <c r="O435" s="3"/>
      <c r="Q435" s="3"/>
      <c r="R435" s="3"/>
      <c r="S435" s="3"/>
      <c r="T435" s="3"/>
      <c r="U435" s="3"/>
      <c r="V435" s="2"/>
      <c r="W435" s="2"/>
      <c r="Y435" s="2"/>
      <c r="Z435" s="2"/>
      <c r="AA435" s="2"/>
    </row>
    <row r="436" spans="1:27" x14ac:dyDescent="0.25">
      <c r="A436" s="3"/>
      <c r="B436" s="3"/>
      <c r="C436" s="3"/>
      <c r="E436" s="3"/>
      <c r="F436" s="3"/>
      <c r="G436" s="3"/>
      <c r="I436" s="3"/>
      <c r="J436" s="3"/>
      <c r="K436" s="3"/>
      <c r="M436" s="3"/>
      <c r="N436" s="3"/>
      <c r="O436" s="3"/>
      <c r="Q436" s="3"/>
      <c r="R436" s="3"/>
      <c r="S436" s="3"/>
      <c r="T436" s="3"/>
      <c r="U436" s="3"/>
      <c r="V436" s="2"/>
      <c r="W436" s="2"/>
      <c r="Y436" s="2"/>
      <c r="Z436" s="2"/>
      <c r="AA436" s="2"/>
    </row>
    <row r="437" spans="1:27" x14ac:dyDescent="0.25">
      <c r="A437" s="3"/>
      <c r="B437" s="3"/>
      <c r="C437" s="3"/>
      <c r="E437" s="3"/>
      <c r="F437" s="3"/>
      <c r="G437" s="3"/>
      <c r="I437" s="3"/>
      <c r="J437" s="3"/>
      <c r="K437" s="3"/>
      <c r="M437" s="3"/>
      <c r="N437" s="3"/>
      <c r="O437" s="3"/>
      <c r="Q437" s="3"/>
      <c r="R437" s="3"/>
      <c r="S437" s="3"/>
      <c r="T437" s="3"/>
      <c r="U437" s="3"/>
      <c r="V437" s="2"/>
      <c r="W437" s="2"/>
      <c r="Y437" s="2"/>
      <c r="Z437" s="2"/>
      <c r="AA437" s="2"/>
    </row>
    <row r="438" spans="1:27" x14ac:dyDescent="0.25">
      <c r="A438" s="3"/>
      <c r="B438" s="3"/>
      <c r="C438" s="3"/>
      <c r="E438" s="3"/>
      <c r="F438" s="3"/>
      <c r="G438" s="3"/>
      <c r="I438" s="3"/>
      <c r="J438" s="3"/>
      <c r="K438" s="3"/>
      <c r="M438" s="3"/>
      <c r="N438" s="3"/>
      <c r="O438" s="3"/>
      <c r="Q438" s="3"/>
      <c r="R438" s="3"/>
      <c r="S438" s="3"/>
      <c r="T438" s="3"/>
      <c r="U438" s="3"/>
      <c r="V438" s="2"/>
      <c r="W438" s="2"/>
      <c r="Y438" s="2"/>
      <c r="Z438" s="2"/>
      <c r="AA438" s="2"/>
    </row>
    <row r="439" spans="1:27" x14ac:dyDescent="0.25">
      <c r="A439" s="3"/>
      <c r="B439" s="3"/>
      <c r="C439" s="3"/>
      <c r="E439" s="3"/>
      <c r="F439" s="3"/>
      <c r="G439" s="3"/>
      <c r="I439" s="3"/>
      <c r="J439" s="3"/>
      <c r="K439" s="3"/>
      <c r="M439" s="3"/>
      <c r="N439" s="3"/>
      <c r="O439" s="3"/>
      <c r="Q439" s="3"/>
      <c r="R439" s="3"/>
      <c r="S439" s="3"/>
      <c r="T439" s="3"/>
      <c r="U439" s="3"/>
      <c r="V439" s="2"/>
      <c r="W439" s="2"/>
      <c r="Y439" s="2"/>
      <c r="Z439" s="2"/>
      <c r="AA439" s="2"/>
    </row>
    <row r="440" spans="1:27" x14ac:dyDescent="0.25">
      <c r="A440" s="3"/>
      <c r="B440" s="3"/>
      <c r="C440" s="3"/>
      <c r="E440" s="3"/>
      <c r="F440" s="3"/>
      <c r="G440" s="3"/>
      <c r="I440" s="3"/>
      <c r="J440" s="3"/>
      <c r="K440" s="3"/>
      <c r="M440" s="3"/>
      <c r="N440" s="3"/>
      <c r="O440" s="3"/>
      <c r="Q440" s="3"/>
      <c r="R440" s="3"/>
      <c r="S440" s="3"/>
      <c r="T440" s="3"/>
      <c r="U440" s="3"/>
      <c r="V440" s="2"/>
      <c r="W440" s="2"/>
      <c r="Y440" s="2"/>
      <c r="Z440" s="2"/>
      <c r="AA440" s="2"/>
    </row>
    <row r="441" spans="1:27" x14ac:dyDescent="0.25">
      <c r="A441" s="3"/>
      <c r="B441" s="3"/>
      <c r="C441" s="3"/>
      <c r="E441" s="3"/>
      <c r="F441" s="3"/>
      <c r="G441" s="3"/>
      <c r="I441" s="3"/>
      <c r="J441" s="3"/>
      <c r="K441" s="3"/>
      <c r="M441" s="3"/>
      <c r="N441" s="3"/>
      <c r="O441" s="3"/>
      <c r="Q441" s="3"/>
      <c r="R441" s="3"/>
      <c r="S441" s="3"/>
      <c r="T441" s="3"/>
      <c r="U441" s="3"/>
      <c r="V441" s="2"/>
      <c r="W441" s="2"/>
      <c r="Y441" s="2"/>
      <c r="Z441" s="2"/>
      <c r="AA441" s="2"/>
    </row>
    <row r="442" spans="1:27" x14ac:dyDescent="0.25">
      <c r="A442" s="3"/>
      <c r="B442" s="3"/>
      <c r="C442" s="3"/>
      <c r="E442" s="3"/>
      <c r="F442" s="3"/>
      <c r="G442" s="3"/>
      <c r="I442" s="3"/>
      <c r="J442" s="3"/>
      <c r="K442" s="3"/>
      <c r="M442" s="3"/>
      <c r="N442" s="3"/>
      <c r="O442" s="3"/>
      <c r="Q442" s="3"/>
      <c r="R442" s="3"/>
      <c r="S442" s="3"/>
      <c r="T442" s="3"/>
      <c r="U442" s="3"/>
      <c r="V442" s="2"/>
      <c r="W442" s="2"/>
      <c r="Y442" s="2"/>
      <c r="Z442" s="2"/>
      <c r="AA442" s="2"/>
    </row>
    <row r="443" spans="1:27" x14ac:dyDescent="0.25">
      <c r="A443" s="3"/>
      <c r="B443" s="3"/>
      <c r="C443" s="3"/>
      <c r="E443" s="3"/>
      <c r="F443" s="3"/>
      <c r="G443" s="3"/>
      <c r="I443" s="3"/>
      <c r="J443" s="3"/>
      <c r="K443" s="3"/>
      <c r="M443" s="3"/>
      <c r="N443" s="3"/>
      <c r="O443" s="3"/>
      <c r="Q443" s="3"/>
      <c r="R443" s="3"/>
      <c r="S443" s="3"/>
      <c r="T443" s="3"/>
      <c r="U443" s="3"/>
      <c r="V443" s="2"/>
      <c r="W443" s="2"/>
      <c r="Y443" s="2"/>
      <c r="Z443" s="2"/>
      <c r="AA443" s="2"/>
    </row>
    <row r="444" spans="1:27" x14ac:dyDescent="0.25">
      <c r="A444" s="3"/>
      <c r="B444" s="3"/>
      <c r="C444" s="3"/>
      <c r="E444" s="3"/>
      <c r="F444" s="3"/>
      <c r="G444" s="3"/>
      <c r="I444" s="3"/>
      <c r="J444" s="3"/>
      <c r="K444" s="3"/>
      <c r="M444" s="3"/>
      <c r="N444" s="3"/>
      <c r="O444" s="3"/>
      <c r="Q444" s="3"/>
      <c r="R444" s="3"/>
      <c r="S444" s="3"/>
      <c r="T444" s="3"/>
      <c r="U444" s="3"/>
      <c r="V444" s="2"/>
      <c r="W444" s="2"/>
      <c r="Y444" s="2"/>
      <c r="Z444" s="2"/>
      <c r="AA444" s="2"/>
    </row>
    <row r="445" spans="1:27" x14ac:dyDescent="0.25">
      <c r="A445" s="3"/>
      <c r="B445" s="3"/>
      <c r="C445" s="3"/>
      <c r="E445" s="3"/>
      <c r="F445" s="3"/>
      <c r="G445" s="3"/>
      <c r="I445" s="3"/>
      <c r="J445" s="3"/>
      <c r="K445" s="3"/>
      <c r="M445" s="3"/>
      <c r="N445" s="3"/>
      <c r="O445" s="3"/>
      <c r="Q445" s="3"/>
      <c r="R445" s="3"/>
      <c r="S445" s="3"/>
      <c r="T445" s="3"/>
      <c r="U445" s="3"/>
      <c r="V445" s="2"/>
      <c r="W445" s="2"/>
      <c r="Y445" s="2"/>
      <c r="Z445" s="2"/>
      <c r="AA445" s="2"/>
    </row>
    <row r="446" spans="1:27" x14ac:dyDescent="0.25">
      <c r="A446" s="3"/>
      <c r="B446" s="3"/>
      <c r="C446" s="3"/>
      <c r="E446" s="3"/>
      <c r="F446" s="3"/>
      <c r="G446" s="3"/>
      <c r="I446" s="3"/>
      <c r="J446" s="3"/>
      <c r="K446" s="3"/>
      <c r="M446" s="3"/>
      <c r="N446" s="3"/>
      <c r="O446" s="3"/>
      <c r="Q446" s="3"/>
      <c r="R446" s="3"/>
      <c r="S446" s="3"/>
      <c r="T446" s="3"/>
      <c r="U446" s="3"/>
      <c r="V446" s="2"/>
      <c r="W446" s="2"/>
      <c r="Y446" s="2"/>
      <c r="Z446" s="2"/>
      <c r="AA446" s="2"/>
    </row>
    <row r="447" spans="1:27" x14ac:dyDescent="0.25">
      <c r="A447" s="3"/>
      <c r="B447" s="3"/>
      <c r="C447" s="3"/>
      <c r="E447" s="3"/>
      <c r="F447" s="3"/>
      <c r="G447" s="3"/>
      <c r="I447" s="3"/>
      <c r="J447" s="3"/>
      <c r="K447" s="3"/>
      <c r="M447" s="3"/>
      <c r="N447" s="3"/>
      <c r="O447" s="3"/>
      <c r="Q447" s="3"/>
      <c r="R447" s="3"/>
      <c r="S447" s="3"/>
      <c r="T447" s="3"/>
      <c r="U447" s="3"/>
      <c r="V447" s="2"/>
      <c r="W447" s="2"/>
      <c r="Y447" s="2"/>
      <c r="Z447" s="2"/>
      <c r="AA447" s="2"/>
    </row>
    <row r="448" spans="1:27" x14ac:dyDescent="0.25">
      <c r="A448" s="3"/>
      <c r="B448" s="3"/>
      <c r="C448" s="3"/>
      <c r="E448" s="3"/>
      <c r="F448" s="3"/>
      <c r="G448" s="3"/>
      <c r="I448" s="3"/>
      <c r="J448" s="3"/>
      <c r="K448" s="3"/>
      <c r="M448" s="3"/>
      <c r="N448" s="3"/>
      <c r="O448" s="3"/>
      <c r="Q448" s="3"/>
      <c r="R448" s="3"/>
      <c r="S448" s="3"/>
      <c r="T448" s="3"/>
      <c r="U448" s="3"/>
      <c r="V448" s="2"/>
      <c r="W448" s="2"/>
      <c r="Y448" s="2"/>
      <c r="Z448" s="2"/>
      <c r="AA448" s="2"/>
    </row>
    <row r="449" spans="1:27" x14ac:dyDescent="0.25">
      <c r="A449" s="3"/>
      <c r="B449" s="3"/>
      <c r="C449" s="3"/>
      <c r="E449" s="3"/>
      <c r="F449" s="3"/>
      <c r="G449" s="3"/>
      <c r="I449" s="3"/>
      <c r="J449" s="3"/>
      <c r="K449" s="3"/>
      <c r="M449" s="3"/>
      <c r="N449" s="3"/>
      <c r="O449" s="3"/>
      <c r="Q449" s="3"/>
      <c r="R449" s="3"/>
      <c r="S449" s="3"/>
      <c r="T449" s="3"/>
      <c r="U449" s="3"/>
      <c r="V449" s="2"/>
      <c r="W449" s="2"/>
      <c r="Y449" s="2"/>
      <c r="Z449" s="2"/>
      <c r="AA449" s="2"/>
    </row>
    <row r="450" spans="1:27" x14ac:dyDescent="0.25">
      <c r="A450" s="3"/>
      <c r="B450" s="3"/>
      <c r="C450" s="3"/>
      <c r="E450" s="3"/>
      <c r="F450" s="3"/>
      <c r="G450" s="3"/>
      <c r="I450" s="3"/>
      <c r="J450" s="3"/>
      <c r="K450" s="3"/>
      <c r="M450" s="3"/>
      <c r="N450" s="3"/>
      <c r="O450" s="3"/>
      <c r="Q450" s="3"/>
      <c r="R450" s="3"/>
      <c r="S450" s="3"/>
      <c r="T450" s="3"/>
      <c r="U450" s="3"/>
      <c r="V450" s="2"/>
      <c r="W450" s="2"/>
      <c r="Y450" s="2"/>
      <c r="Z450" s="2"/>
      <c r="AA450" s="2"/>
    </row>
    <row r="451" spans="1:27" x14ac:dyDescent="0.25">
      <c r="A451" s="3"/>
      <c r="B451" s="3"/>
      <c r="C451" s="3"/>
      <c r="E451" s="3"/>
      <c r="F451" s="3"/>
      <c r="G451" s="3"/>
      <c r="I451" s="3"/>
      <c r="J451" s="3"/>
      <c r="K451" s="3"/>
      <c r="M451" s="3"/>
      <c r="N451" s="3"/>
      <c r="O451" s="3"/>
      <c r="Q451" s="3"/>
      <c r="R451" s="3"/>
      <c r="S451" s="3"/>
      <c r="T451" s="3"/>
      <c r="U451" s="3"/>
      <c r="V451" s="2"/>
      <c r="W451" s="2"/>
      <c r="Y451" s="2"/>
      <c r="Z451" s="2"/>
      <c r="AA451" s="2"/>
    </row>
    <row r="452" spans="1:27" x14ac:dyDescent="0.25">
      <c r="A452" s="3"/>
      <c r="B452" s="3"/>
      <c r="C452" s="3"/>
      <c r="E452" s="3"/>
      <c r="F452" s="3"/>
      <c r="G452" s="3"/>
      <c r="I452" s="3"/>
      <c r="J452" s="3"/>
      <c r="K452" s="3"/>
      <c r="M452" s="3"/>
      <c r="N452" s="3"/>
      <c r="O452" s="3"/>
      <c r="Q452" s="3"/>
      <c r="R452" s="3"/>
      <c r="S452" s="3"/>
      <c r="T452" s="3"/>
      <c r="U452" s="3"/>
      <c r="V452" s="2"/>
      <c r="W452" s="2"/>
      <c r="Y452" s="2"/>
      <c r="Z452" s="2"/>
      <c r="AA452" s="2"/>
    </row>
    <row r="453" spans="1:27" x14ac:dyDescent="0.25">
      <c r="A453" s="3"/>
      <c r="B453" s="3"/>
      <c r="C453" s="3"/>
      <c r="E453" s="3"/>
      <c r="F453" s="3"/>
      <c r="G453" s="3"/>
      <c r="I453" s="3"/>
      <c r="J453" s="3"/>
      <c r="K453" s="3"/>
      <c r="M453" s="3"/>
      <c r="N453" s="3"/>
      <c r="O453" s="3"/>
      <c r="Q453" s="3"/>
      <c r="R453" s="3"/>
      <c r="S453" s="3"/>
      <c r="T453" s="3"/>
      <c r="U453" s="3"/>
      <c r="V453" s="2"/>
      <c r="W453" s="2"/>
      <c r="Y453" s="2"/>
      <c r="Z453" s="2"/>
      <c r="AA453" s="2"/>
    </row>
    <row r="454" spans="1:27" x14ac:dyDescent="0.25">
      <c r="A454" s="3"/>
      <c r="B454" s="3"/>
      <c r="C454" s="3"/>
      <c r="E454" s="3"/>
      <c r="F454" s="3"/>
      <c r="G454" s="3"/>
      <c r="I454" s="3"/>
      <c r="J454" s="3"/>
      <c r="K454" s="3"/>
      <c r="M454" s="3"/>
      <c r="N454" s="3"/>
      <c r="O454" s="3"/>
      <c r="Q454" s="3"/>
      <c r="R454" s="3"/>
      <c r="S454" s="3"/>
      <c r="T454" s="3"/>
      <c r="U454" s="3"/>
      <c r="V454" s="2"/>
      <c r="W454" s="2"/>
      <c r="Y454" s="2"/>
      <c r="Z454" s="2"/>
      <c r="AA454" s="2"/>
    </row>
    <row r="455" spans="1:27" x14ac:dyDescent="0.25">
      <c r="A455" s="3"/>
      <c r="B455" s="3"/>
      <c r="C455" s="3"/>
      <c r="E455" s="3"/>
      <c r="F455" s="3"/>
      <c r="G455" s="3"/>
      <c r="I455" s="3"/>
      <c r="J455" s="3"/>
      <c r="K455" s="3"/>
      <c r="M455" s="3"/>
      <c r="N455" s="3"/>
      <c r="O455" s="3"/>
      <c r="Q455" s="3"/>
      <c r="R455" s="3"/>
      <c r="S455" s="3"/>
      <c r="T455" s="3"/>
      <c r="U455" s="3"/>
      <c r="V455" s="2"/>
      <c r="W455" s="2"/>
      <c r="Y455" s="2"/>
      <c r="Z455" s="2"/>
      <c r="AA455" s="2"/>
    </row>
    <row r="456" spans="1:27" x14ac:dyDescent="0.25">
      <c r="A456" s="3"/>
      <c r="B456" s="3"/>
      <c r="C456" s="3"/>
      <c r="E456" s="3"/>
      <c r="F456" s="3"/>
      <c r="G456" s="3"/>
      <c r="I456" s="3"/>
      <c r="J456" s="3"/>
      <c r="K456" s="3"/>
      <c r="M456" s="3"/>
      <c r="N456" s="3"/>
      <c r="O456" s="3"/>
      <c r="Q456" s="3"/>
      <c r="R456" s="3"/>
      <c r="S456" s="3"/>
      <c r="T456" s="3"/>
      <c r="U456" s="3"/>
      <c r="V456" s="2"/>
      <c r="W456" s="2"/>
      <c r="Y456" s="2"/>
      <c r="Z456" s="2"/>
      <c r="AA456" s="2"/>
    </row>
    <row r="457" spans="1:27" x14ac:dyDescent="0.25">
      <c r="A457" s="3"/>
      <c r="B457" s="3"/>
      <c r="C457" s="3"/>
      <c r="E457" s="3"/>
      <c r="F457" s="3"/>
      <c r="G457" s="3"/>
      <c r="I457" s="3"/>
      <c r="J457" s="3"/>
      <c r="K457" s="3"/>
      <c r="M457" s="3"/>
      <c r="N457" s="3"/>
      <c r="O457" s="3"/>
      <c r="Q457" s="3"/>
      <c r="R457" s="3"/>
      <c r="S457" s="3"/>
      <c r="T457" s="3"/>
      <c r="U457" s="3"/>
      <c r="V457" s="2"/>
      <c r="W457" s="2"/>
      <c r="Y457" s="2"/>
      <c r="Z457" s="2"/>
      <c r="AA457" s="2"/>
    </row>
    <row r="458" spans="1:27" x14ac:dyDescent="0.25">
      <c r="A458" s="3"/>
      <c r="B458" s="3"/>
      <c r="C458" s="3"/>
      <c r="E458" s="3"/>
      <c r="F458" s="3"/>
      <c r="G458" s="3"/>
      <c r="I458" s="3"/>
      <c r="J458" s="3"/>
      <c r="K458" s="3"/>
      <c r="M458" s="3"/>
      <c r="N458" s="3"/>
      <c r="O458" s="3"/>
      <c r="Q458" s="3"/>
      <c r="R458" s="3"/>
      <c r="S458" s="3"/>
      <c r="T458" s="3"/>
      <c r="U458" s="3"/>
      <c r="V458" s="2"/>
      <c r="W458" s="2"/>
      <c r="Y458" s="2"/>
      <c r="Z458" s="2"/>
      <c r="AA458" s="2"/>
    </row>
    <row r="459" spans="1:27" x14ac:dyDescent="0.25">
      <c r="A459" s="3"/>
      <c r="B459" s="3"/>
      <c r="C459" s="3"/>
      <c r="E459" s="3"/>
      <c r="F459" s="3"/>
      <c r="G459" s="3"/>
      <c r="I459" s="3"/>
      <c r="J459" s="3"/>
      <c r="K459" s="3"/>
      <c r="M459" s="3"/>
      <c r="N459" s="3"/>
      <c r="O459" s="3"/>
      <c r="Q459" s="3"/>
      <c r="R459" s="3"/>
      <c r="S459" s="3"/>
      <c r="T459" s="3"/>
      <c r="U459" s="3"/>
      <c r="V459" s="2"/>
      <c r="W459" s="2"/>
      <c r="Y459" s="2"/>
      <c r="Z459" s="2"/>
      <c r="AA459" s="2"/>
    </row>
    <row r="460" spans="1:27" x14ac:dyDescent="0.25">
      <c r="A460" s="3"/>
      <c r="B460" s="3"/>
      <c r="C460" s="3"/>
      <c r="E460" s="3"/>
      <c r="F460" s="3"/>
      <c r="G460" s="3"/>
      <c r="I460" s="3"/>
      <c r="J460" s="3"/>
      <c r="K460" s="3"/>
      <c r="M460" s="3"/>
      <c r="N460" s="3"/>
      <c r="O460" s="3"/>
      <c r="Q460" s="3"/>
      <c r="R460" s="3"/>
      <c r="S460" s="3"/>
      <c r="T460" s="3"/>
      <c r="U460" s="3"/>
      <c r="V460" s="2"/>
      <c r="W460" s="2"/>
      <c r="Y460" s="2"/>
      <c r="Z460" s="2"/>
      <c r="AA460" s="2"/>
    </row>
    <row r="461" spans="1:27" x14ac:dyDescent="0.25">
      <c r="A461" s="3"/>
      <c r="B461" s="3"/>
      <c r="C461" s="3"/>
      <c r="E461" s="3"/>
      <c r="F461" s="3"/>
      <c r="G461" s="3"/>
      <c r="I461" s="3"/>
      <c r="J461" s="3"/>
      <c r="K461" s="3"/>
      <c r="M461" s="3"/>
      <c r="N461" s="3"/>
      <c r="O461" s="3"/>
      <c r="Q461" s="3"/>
      <c r="R461" s="3"/>
      <c r="S461" s="3"/>
      <c r="T461" s="3"/>
      <c r="U461" s="3"/>
      <c r="V461" s="2"/>
      <c r="W461" s="2"/>
      <c r="Y461" s="2"/>
      <c r="Z461" s="2"/>
      <c r="AA461" s="2"/>
    </row>
    <row r="462" spans="1:27" x14ac:dyDescent="0.25">
      <c r="A462" s="3"/>
      <c r="B462" s="3"/>
      <c r="C462" s="3"/>
      <c r="E462" s="3"/>
      <c r="F462" s="3"/>
      <c r="G462" s="3"/>
      <c r="I462" s="3"/>
      <c r="J462" s="3"/>
      <c r="K462" s="3"/>
      <c r="M462" s="3"/>
      <c r="N462" s="3"/>
      <c r="O462" s="3"/>
      <c r="Q462" s="3"/>
      <c r="R462" s="3"/>
      <c r="S462" s="3"/>
      <c r="T462" s="3"/>
      <c r="U462" s="3"/>
      <c r="V462" s="2"/>
      <c r="W462" s="2"/>
      <c r="Y462" s="2"/>
      <c r="Z462" s="2"/>
      <c r="AA462" s="2"/>
    </row>
    <row r="463" spans="1:27" x14ac:dyDescent="0.25">
      <c r="A463" s="3"/>
      <c r="B463" s="3"/>
      <c r="C463" s="3"/>
      <c r="E463" s="3"/>
      <c r="F463" s="3"/>
      <c r="G463" s="3"/>
      <c r="I463" s="3"/>
      <c r="J463" s="3"/>
      <c r="K463" s="3"/>
      <c r="M463" s="3"/>
      <c r="N463" s="3"/>
      <c r="O463" s="3"/>
      <c r="Q463" s="3"/>
      <c r="R463" s="3"/>
      <c r="S463" s="3"/>
      <c r="T463" s="3"/>
      <c r="U463" s="3"/>
      <c r="V463" s="2"/>
      <c r="W463" s="2"/>
      <c r="Y463" s="2"/>
      <c r="Z463" s="2"/>
      <c r="AA463" s="2"/>
    </row>
    <row r="464" spans="1:27" x14ac:dyDescent="0.25">
      <c r="A464" s="3"/>
      <c r="B464" s="3"/>
      <c r="C464" s="3"/>
      <c r="E464" s="3"/>
      <c r="F464" s="3"/>
      <c r="G464" s="3"/>
      <c r="I464" s="3"/>
      <c r="J464" s="3"/>
      <c r="K464" s="3"/>
      <c r="M464" s="3"/>
      <c r="N464" s="3"/>
      <c r="O464" s="3"/>
      <c r="Q464" s="3"/>
      <c r="R464" s="3"/>
      <c r="S464" s="3"/>
      <c r="T464" s="3"/>
      <c r="U464" s="3"/>
      <c r="V464" s="2"/>
      <c r="W464" s="2"/>
      <c r="Y464" s="2"/>
      <c r="Z464" s="2"/>
      <c r="AA464" s="2"/>
    </row>
    <row r="465" spans="1:27" x14ac:dyDescent="0.25">
      <c r="A465" s="3"/>
      <c r="B465" s="3"/>
      <c r="C465" s="3"/>
      <c r="E465" s="3"/>
      <c r="F465" s="3"/>
      <c r="G465" s="3"/>
      <c r="I465" s="3"/>
      <c r="J465" s="3"/>
      <c r="K465" s="3"/>
      <c r="M465" s="3"/>
      <c r="N465" s="3"/>
      <c r="O465" s="3"/>
      <c r="Q465" s="3"/>
      <c r="R465" s="3"/>
      <c r="S465" s="3"/>
      <c r="T465" s="3"/>
      <c r="U465" s="3"/>
      <c r="V465" s="2"/>
      <c r="W465" s="2"/>
      <c r="Y465" s="2"/>
      <c r="Z465" s="2"/>
      <c r="AA465" s="2"/>
    </row>
    <row r="466" spans="1:27" x14ac:dyDescent="0.25">
      <c r="A466" s="3"/>
      <c r="B466" s="3"/>
      <c r="C466" s="3"/>
      <c r="E466" s="3"/>
      <c r="F466" s="3"/>
      <c r="G466" s="3"/>
      <c r="I466" s="3"/>
      <c r="J466" s="3"/>
      <c r="K466" s="3"/>
      <c r="M466" s="3"/>
      <c r="N466" s="3"/>
      <c r="O466" s="3"/>
      <c r="Q466" s="3"/>
      <c r="R466" s="3"/>
      <c r="S466" s="3"/>
      <c r="T466" s="3"/>
      <c r="U466" s="3"/>
      <c r="V466" s="2"/>
      <c r="W466" s="2"/>
      <c r="Y466" s="2"/>
      <c r="Z466" s="2"/>
      <c r="AA466" s="2"/>
    </row>
    <row r="467" spans="1:27" x14ac:dyDescent="0.25">
      <c r="A467" s="3"/>
      <c r="B467" s="3"/>
      <c r="C467" s="3"/>
      <c r="E467" s="3"/>
      <c r="F467" s="3"/>
      <c r="G467" s="3"/>
      <c r="I467" s="3"/>
      <c r="J467" s="3"/>
      <c r="K467" s="3"/>
      <c r="M467" s="3"/>
      <c r="N467" s="3"/>
      <c r="O467" s="3"/>
      <c r="Q467" s="3"/>
      <c r="R467" s="3"/>
      <c r="S467" s="3"/>
      <c r="T467" s="3"/>
      <c r="U467" s="3"/>
      <c r="V467" s="2"/>
      <c r="W467" s="2"/>
      <c r="Y467" s="2"/>
      <c r="Z467" s="2"/>
      <c r="AA467" s="2"/>
    </row>
    <row r="468" spans="1:27" x14ac:dyDescent="0.25">
      <c r="A468" s="3"/>
      <c r="B468" s="3"/>
      <c r="C468" s="3"/>
      <c r="E468" s="3"/>
      <c r="F468" s="3"/>
      <c r="G468" s="3"/>
      <c r="I468" s="3"/>
      <c r="J468" s="3"/>
      <c r="K468" s="3"/>
      <c r="M468" s="3"/>
      <c r="N468" s="3"/>
      <c r="O468" s="3"/>
      <c r="Q468" s="3"/>
      <c r="R468" s="3"/>
      <c r="S468" s="3"/>
      <c r="T468" s="3"/>
      <c r="U468" s="3"/>
      <c r="V468" s="2"/>
      <c r="W468" s="2"/>
      <c r="Y468" s="2"/>
      <c r="Z468" s="2"/>
      <c r="AA468" s="2"/>
    </row>
    <row r="469" spans="1:27" x14ac:dyDescent="0.25">
      <c r="A469" s="3"/>
      <c r="B469" s="3"/>
      <c r="C469" s="3"/>
      <c r="E469" s="3"/>
      <c r="F469" s="3"/>
      <c r="G469" s="3"/>
      <c r="I469" s="3"/>
      <c r="J469" s="3"/>
      <c r="K469" s="3"/>
      <c r="M469" s="3"/>
      <c r="N469" s="3"/>
      <c r="O469" s="3"/>
      <c r="Q469" s="3"/>
      <c r="R469" s="3"/>
      <c r="S469" s="3"/>
      <c r="T469" s="3"/>
      <c r="U469" s="3"/>
      <c r="V469" s="2"/>
      <c r="W469" s="2"/>
      <c r="Y469" s="2"/>
      <c r="Z469" s="2"/>
      <c r="AA469" s="2"/>
    </row>
    <row r="470" spans="1:27" x14ac:dyDescent="0.25">
      <c r="A470" s="3"/>
      <c r="B470" s="3"/>
      <c r="C470" s="3"/>
      <c r="E470" s="3"/>
      <c r="F470" s="3"/>
      <c r="G470" s="3"/>
      <c r="I470" s="3"/>
      <c r="J470" s="3"/>
      <c r="K470" s="3"/>
      <c r="M470" s="3"/>
      <c r="N470" s="3"/>
      <c r="O470" s="3"/>
      <c r="Q470" s="3"/>
      <c r="R470" s="3"/>
      <c r="S470" s="3"/>
      <c r="T470" s="3"/>
      <c r="U470" s="3"/>
      <c r="V470" s="2"/>
      <c r="W470" s="2"/>
      <c r="Y470" s="2"/>
      <c r="Z470" s="2"/>
      <c r="AA470" s="2"/>
    </row>
    <row r="471" spans="1:27" x14ac:dyDescent="0.25">
      <c r="A471" s="3"/>
      <c r="B471" s="3"/>
      <c r="C471" s="3"/>
      <c r="E471" s="3"/>
      <c r="F471" s="3"/>
      <c r="G471" s="3"/>
      <c r="I471" s="3"/>
      <c r="J471" s="3"/>
      <c r="K471" s="3"/>
      <c r="M471" s="3"/>
      <c r="N471" s="3"/>
      <c r="O471" s="3"/>
      <c r="Q471" s="3"/>
      <c r="R471" s="3"/>
      <c r="S471" s="3"/>
      <c r="T471" s="3"/>
      <c r="U471" s="3"/>
      <c r="V471" s="2"/>
      <c r="W471" s="2"/>
      <c r="Y471" s="2"/>
      <c r="Z471" s="2"/>
      <c r="AA471" s="2"/>
    </row>
    <row r="472" spans="1:27" x14ac:dyDescent="0.25">
      <c r="A472" s="3"/>
      <c r="B472" s="3"/>
      <c r="C472" s="3"/>
      <c r="E472" s="3"/>
      <c r="F472" s="3"/>
      <c r="G472" s="3"/>
      <c r="I472" s="3"/>
      <c r="J472" s="3"/>
      <c r="K472" s="3"/>
      <c r="M472" s="3"/>
      <c r="N472" s="3"/>
      <c r="O472" s="3"/>
      <c r="Q472" s="3"/>
      <c r="R472" s="3"/>
      <c r="S472" s="3"/>
      <c r="T472" s="3"/>
      <c r="U472" s="3"/>
      <c r="V472" s="2"/>
      <c r="W472" s="2"/>
      <c r="Y472" s="2"/>
      <c r="Z472" s="2"/>
      <c r="AA472" s="2"/>
    </row>
    <row r="473" spans="1:27" x14ac:dyDescent="0.25">
      <c r="A473" s="3"/>
      <c r="B473" s="3"/>
      <c r="C473" s="3"/>
      <c r="E473" s="3"/>
      <c r="F473" s="3"/>
      <c r="G473" s="3"/>
      <c r="I473" s="3"/>
      <c r="J473" s="3"/>
      <c r="K473" s="3"/>
      <c r="M473" s="3"/>
      <c r="N473" s="3"/>
      <c r="O473" s="3"/>
      <c r="Q473" s="3"/>
      <c r="R473" s="3"/>
      <c r="S473" s="3"/>
      <c r="T473" s="3"/>
      <c r="U473" s="3"/>
      <c r="V473" s="2"/>
      <c r="W473" s="2"/>
      <c r="Y473" s="2"/>
      <c r="Z473" s="2"/>
      <c r="AA473" s="2"/>
    </row>
    <row r="474" spans="1:27" x14ac:dyDescent="0.25">
      <c r="A474" s="3"/>
      <c r="B474" s="3"/>
      <c r="C474" s="3"/>
      <c r="E474" s="3"/>
      <c r="F474" s="3"/>
      <c r="G474" s="3"/>
      <c r="I474" s="3"/>
      <c r="J474" s="3"/>
      <c r="K474" s="3"/>
      <c r="M474" s="3"/>
      <c r="N474" s="3"/>
      <c r="O474" s="3"/>
      <c r="Q474" s="3"/>
      <c r="R474" s="3"/>
      <c r="S474" s="3"/>
      <c r="T474" s="3"/>
      <c r="U474" s="3"/>
      <c r="V474" s="2"/>
      <c r="W474" s="2"/>
      <c r="Y474" s="2"/>
      <c r="Z474" s="2"/>
      <c r="AA474" s="2"/>
    </row>
    <row r="475" spans="1:27" x14ac:dyDescent="0.25">
      <c r="A475" s="3"/>
      <c r="B475" s="3"/>
      <c r="C475" s="3"/>
      <c r="E475" s="3"/>
      <c r="F475" s="3"/>
      <c r="G475" s="3"/>
      <c r="I475" s="3"/>
      <c r="J475" s="3"/>
      <c r="K475" s="3"/>
      <c r="M475" s="3"/>
      <c r="N475" s="3"/>
      <c r="O475" s="3"/>
      <c r="Q475" s="3"/>
      <c r="R475" s="3"/>
      <c r="S475" s="3"/>
      <c r="T475" s="3"/>
      <c r="U475" s="3"/>
      <c r="V475" s="2"/>
      <c r="W475" s="2"/>
      <c r="Y475" s="2"/>
      <c r="Z475" s="2"/>
      <c r="AA475" s="2"/>
    </row>
    <row r="476" spans="1:27" x14ac:dyDescent="0.25">
      <c r="A476" s="3"/>
      <c r="B476" s="3"/>
      <c r="C476" s="3"/>
      <c r="E476" s="3"/>
      <c r="F476" s="3"/>
      <c r="G476" s="3"/>
      <c r="I476" s="3"/>
      <c r="J476" s="3"/>
      <c r="K476" s="3"/>
      <c r="M476" s="3"/>
      <c r="N476" s="3"/>
      <c r="O476" s="3"/>
      <c r="Q476" s="3"/>
      <c r="R476" s="3"/>
      <c r="S476" s="3"/>
      <c r="T476" s="3"/>
      <c r="U476" s="3"/>
      <c r="V476" s="2"/>
      <c r="W476" s="2"/>
      <c r="Y476" s="2"/>
      <c r="Z476" s="2"/>
      <c r="AA476" s="2"/>
    </row>
    <row r="477" spans="1:27" x14ac:dyDescent="0.25">
      <c r="A477" s="3"/>
      <c r="B477" s="3"/>
      <c r="C477" s="3"/>
      <c r="E477" s="3"/>
      <c r="F477" s="3"/>
      <c r="G477" s="3"/>
      <c r="I477" s="3"/>
      <c r="J477" s="3"/>
      <c r="K477" s="3"/>
      <c r="M477" s="3"/>
      <c r="N477" s="3"/>
      <c r="O477" s="3"/>
      <c r="Q477" s="3"/>
      <c r="R477" s="3"/>
      <c r="S477" s="3"/>
      <c r="T477" s="3"/>
      <c r="U477" s="3"/>
      <c r="V477" s="2"/>
      <c r="W477" s="2"/>
      <c r="Y477" s="2"/>
      <c r="Z477" s="2"/>
      <c r="AA477" s="2"/>
    </row>
    <row r="478" spans="1:27" x14ac:dyDescent="0.25">
      <c r="A478" s="3"/>
      <c r="B478" s="3"/>
      <c r="C478" s="3"/>
      <c r="E478" s="3"/>
      <c r="F478" s="3"/>
      <c r="G478" s="3"/>
      <c r="I478" s="3"/>
      <c r="J478" s="3"/>
      <c r="K478" s="3"/>
      <c r="M478" s="3"/>
      <c r="N478" s="3"/>
      <c r="O478" s="3"/>
      <c r="Q478" s="3"/>
      <c r="R478" s="3"/>
      <c r="S478" s="3"/>
      <c r="T478" s="3"/>
      <c r="U478" s="3"/>
      <c r="V478" s="2"/>
      <c r="W478" s="2"/>
      <c r="Y478" s="2"/>
      <c r="Z478" s="2"/>
      <c r="AA478" s="2"/>
    </row>
    <row r="479" spans="1:27" x14ac:dyDescent="0.25">
      <c r="A479" s="3"/>
      <c r="B479" s="3"/>
      <c r="C479" s="3"/>
      <c r="E479" s="3"/>
      <c r="F479" s="3"/>
      <c r="G479" s="3"/>
      <c r="I479" s="3"/>
      <c r="J479" s="3"/>
      <c r="K479" s="3"/>
      <c r="M479" s="3"/>
      <c r="N479" s="3"/>
      <c r="O479" s="3"/>
      <c r="Q479" s="3"/>
      <c r="R479" s="3"/>
      <c r="S479" s="3"/>
      <c r="T479" s="3"/>
      <c r="U479" s="3"/>
      <c r="V479" s="2"/>
      <c r="W479" s="2"/>
      <c r="Y479" s="2"/>
      <c r="Z479" s="2"/>
      <c r="AA479" s="2"/>
    </row>
    <row r="480" spans="1:27" x14ac:dyDescent="0.25">
      <c r="A480" s="3"/>
      <c r="B480" s="3"/>
      <c r="C480" s="3"/>
      <c r="E480" s="3"/>
      <c r="F480" s="3"/>
      <c r="G480" s="3"/>
      <c r="I480" s="3"/>
      <c r="J480" s="3"/>
      <c r="K480" s="3"/>
      <c r="M480" s="3"/>
      <c r="N480" s="3"/>
      <c r="O480" s="3"/>
      <c r="Q480" s="3"/>
      <c r="R480" s="3"/>
      <c r="S480" s="3"/>
      <c r="T480" s="3"/>
      <c r="U480" s="3"/>
      <c r="V480" s="2"/>
      <c r="W480" s="2"/>
      <c r="Y480" s="2"/>
      <c r="Z480" s="2"/>
      <c r="AA480" s="2"/>
    </row>
    <row r="481" spans="1:27" x14ac:dyDescent="0.25">
      <c r="A481" s="3"/>
      <c r="B481" s="3"/>
      <c r="C481" s="3"/>
      <c r="E481" s="3"/>
      <c r="F481" s="3"/>
      <c r="G481" s="3"/>
      <c r="I481" s="3"/>
      <c r="J481" s="3"/>
      <c r="K481" s="3"/>
      <c r="M481" s="3"/>
      <c r="N481" s="3"/>
      <c r="O481" s="3"/>
      <c r="Q481" s="3"/>
      <c r="R481" s="3"/>
      <c r="S481" s="3"/>
      <c r="T481" s="3"/>
      <c r="U481" s="3"/>
      <c r="V481" s="2"/>
      <c r="W481" s="2"/>
      <c r="Y481" s="2"/>
      <c r="Z481" s="2"/>
      <c r="AA481" s="2"/>
    </row>
    <row r="482" spans="1:27" x14ac:dyDescent="0.25">
      <c r="A482" s="3"/>
      <c r="B482" s="3"/>
      <c r="C482" s="3"/>
      <c r="E482" s="3"/>
      <c r="F482" s="3"/>
      <c r="G482" s="3"/>
      <c r="I482" s="3"/>
      <c r="J482" s="3"/>
      <c r="K482" s="3"/>
      <c r="M482" s="3"/>
      <c r="N482" s="3"/>
      <c r="O482" s="3"/>
      <c r="Q482" s="3"/>
      <c r="R482" s="3"/>
      <c r="S482" s="3"/>
      <c r="T482" s="3"/>
      <c r="U482" s="3"/>
      <c r="V482" s="2"/>
      <c r="W482" s="2"/>
      <c r="Y482" s="2"/>
      <c r="Z482" s="2"/>
      <c r="AA482" s="2"/>
    </row>
    <row r="483" spans="1:27" x14ac:dyDescent="0.25">
      <c r="A483" s="3"/>
      <c r="B483" s="3"/>
      <c r="C483" s="3"/>
      <c r="E483" s="3"/>
      <c r="F483" s="3"/>
      <c r="G483" s="3"/>
      <c r="I483" s="3"/>
      <c r="J483" s="3"/>
      <c r="K483" s="3"/>
      <c r="M483" s="3"/>
      <c r="N483" s="3"/>
      <c r="O483" s="3"/>
      <c r="Q483" s="3"/>
      <c r="R483" s="3"/>
      <c r="S483" s="3"/>
      <c r="T483" s="3"/>
      <c r="U483" s="3"/>
      <c r="V483" s="2"/>
      <c r="W483" s="2"/>
      <c r="Y483" s="2"/>
      <c r="Z483" s="2"/>
      <c r="AA483" s="2"/>
    </row>
    <row r="484" spans="1:27" x14ac:dyDescent="0.25">
      <c r="A484" s="3"/>
      <c r="B484" s="3"/>
      <c r="C484" s="3"/>
      <c r="E484" s="3"/>
      <c r="F484" s="3"/>
      <c r="G484" s="3"/>
      <c r="I484" s="3"/>
      <c r="J484" s="3"/>
      <c r="K484" s="3"/>
      <c r="M484" s="3"/>
      <c r="N484" s="3"/>
      <c r="O484" s="3"/>
      <c r="Q484" s="3"/>
      <c r="R484" s="3"/>
      <c r="S484" s="3"/>
      <c r="T484" s="3"/>
      <c r="U484" s="3"/>
      <c r="V484" s="2"/>
      <c r="W484" s="2"/>
      <c r="Y484" s="2"/>
      <c r="Z484" s="2"/>
      <c r="AA484" s="2"/>
    </row>
    <row r="485" spans="1:27" x14ac:dyDescent="0.25">
      <c r="A485" s="3"/>
      <c r="B485" s="3"/>
      <c r="C485" s="3"/>
      <c r="E485" s="3"/>
      <c r="F485" s="3"/>
      <c r="G485" s="3"/>
      <c r="I485" s="3"/>
      <c r="J485" s="3"/>
      <c r="K485" s="3"/>
      <c r="M485" s="3"/>
      <c r="N485" s="3"/>
      <c r="O485" s="3"/>
      <c r="Q485" s="3"/>
      <c r="R485" s="3"/>
      <c r="S485" s="3"/>
      <c r="T485" s="3"/>
      <c r="U485" s="3"/>
      <c r="V485" s="2"/>
      <c r="W485" s="2"/>
      <c r="Y485" s="2"/>
      <c r="Z485" s="2"/>
      <c r="AA485" s="2"/>
    </row>
    <row r="486" spans="1:27" x14ac:dyDescent="0.25">
      <c r="A486" s="3"/>
      <c r="B486" s="3"/>
      <c r="C486" s="3"/>
      <c r="E486" s="3"/>
      <c r="F486" s="3"/>
      <c r="G486" s="3"/>
      <c r="I486" s="3"/>
      <c r="J486" s="3"/>
      <c r="K486" s="3"/>
      <c r="M486" s="3"/>
      <c r="N486" s="3"/>
      <c r="O486" s="3"/>
      <c r="Q486" s="3"/>
      <c r="R486" s="3"/>
      <c r="S486" s="3"/>
      <c r="T486" s="3"/>
      <c r="U486" s="3"/>
      <c r="V486" s="2"/>
      <c r="W486" s="2"/>
      <c r="Y486" s="2"/>
      <c r="Z486" s="2"/>
      <c r="AA486" s="2"/>
    </row>
    <row r="487" spans="1:27" x14ac:dyDescent="0.25">
      <c r="A487" s="3"/>
      <c r="B487" s="3"/>
      <c r="C487" s="3"/>
      <c r="E487" s="3"/>
      <c r="F487" s="3"/>
      <c r="G487" s="3"/>
      <c r="I487" s="3"/>
      <c r="J487" s="3"/>
      <c r="K487" s="3"/>
      <c r="M487" s="3"/>
      <c r="N487" s="3"/>
      <c r="O487" s="3"/>
      <c r="Q487" s="3"/>
      <c r="R487" s="3"/>
      <c r="S487" s="3"/>
      <c r="T487" s="3"/>
      <c r="U487" s="3"/>
      <c r="V487" s="2"/>
      <c r="W487" s="2"/>
      <c r="Y487" s="2"/>
      <c r="Z487" s="2"/>
      <c r="AA487" s="2"/>
    </row>
    <row r="488" spans="1:27" x14ac:dyDescent="0.25">
      <c r="A488" s="3"/>
      <c r="B488" s="3"/>
      <c r="C488" s="3"/>
      <c r="E488" s="3"/>
      <c r="F488" s="3"/>
      <c r="G488" s="3"/>
      <c r="I488" s="3"/>
      <c r="J488" s="3"/>
      <c r="K488" s="3"/>
      <c r="M488" s="3"/>
      <c r="N488" s="3"/>
      <c r="O488" s="3"/>
      <c r="Q488" s="3"/>
      <c r="R488" s="3"/>
      <c r="S488" s="3"/>
      <c r="T488" s="3"/>
      <c r="U488" s="3"/>
      <c r="V488" s="2"/>
      <c r="W488" s="2"/>
      <c r="Y488" s="2"/>
      <c r="Z488" s="2"/>
      <c r="AA488" s="2"/>
    </row>
    <row r="489" spans="1:27" x14ac:dyDescent="0.25">
      <c r="A489" s="3"/>
      <c r="B489" s="3"/>
      <c r="C489" s="3"/>
      <c r="E489" s="3"/>
      <c r="F489" s="3"/>
      <c r="G489" s="3"/>
      <c r="I489" s="3"/>
      <c r="J489" s="3"/>
      <c r="K489" s="3"/>
      <c r="M489" s="3"/>
      <c r="N489" s="3"/>
      <c r="O489" s="3"/>
      <c r="Q489" s="3"/>
      <c r="R489" s="3"/>
      <c r="S489" s="3"/>
      <c r="T489" s="3"/>
      <c r="U489" s="3"/>
      <c r="V489" s="2"/>
      <c r="W489" s="2"/>
      <c r="Y489" s="2"/>
      <c r="Z489" s="2"/>
      <c r="AA489" s="2"/>
    </row>
    <row r="490" spans="1:27" x14ac:dyDescent="0.25">
      <c r="A490" s="3"/>
      <c r="B490" s="3"/>
      <c r="C490" s="3"/>
      <c r="E490" s="3"/>
      <c r="F490" s="3"/>
      <c r="G490" s="3"/>
      <c r="I490" s="3"/>
      <c r="J490" s="3"/>
      <c r="K490" s="3"/>
      <c r="M490" s="3"/>
      <c r="N490" s="3"/>
      <c r="O490" s="3"/>
      <c r="Q490" s="3"/>
      <c r="R490" s="3"/>
      <c r="S490" s="3"/>
      <c r="T490" s="3"/>
      <c r="U490" s="3"/>
      <c r="V490" s="2"/>
      <c r="W490" s="2"/>
      <c r="Y490" s="2"/>
      <c r="Z490" s="2"/>
      <c r="AA490" s="2"/>
    </row>
    <row r="491" spans="1:27" x14ac:dyDescent="0.25">
      <c r="A491" s="3"/>
      <c r="B491" s="3"/>
      <c r="C491" s="3"/>
      <c r="E491" s="3"/>
      <c r="F491" s="3"/>
      <c r="G491" s="3"/>
      <c r="I491" s="3"/>
      <c r="J491" s="3"/>
      <c r="K491" s="3"/>
      <c r="M491" s="3"/>
      <c r="N491" s="3"/>
      <c r="O491" s="3"/>
      <c r="Q491" s="3"/>
      <c r="R491" s="3"/>
      <c r="S491" s="3"/>
      <c r="T491" s="3"/>
      <c r="U491" s="3"/>
      <c r="V491" s="2"/>
      <c r="W491" s="2"/>
      <c r="Y491" s="2"/>
      <c r="Z491" s="2"/>
      <c r="AA491" s="2"/>
    </row>
    <row r="492" spans="1:27" x14ac:dyDescent="0.25">
      <c r="A492" s="3"/>
      <c r="B492" s="3"/>
      <c r="C492" s="3"/>
      <c r="E492" s="3"/>
      <c r="F492" s="3"/>
      <c r="G492" s="3"/>
      <c r="I492" s="3"/>
      <c r="J492" s="3"/>
      <c r="K492" s="3"/>
      <c r="M492" s="3"/>
      <c r="N492" s="3"/>
      <c r="O492" s="3"/>
      <c r="Q492" s="3"/>
      <c r="R492" s="3"/>
      <c r="S492" s="3"/>
      <c r="T492" s="3"/>
      <c r="U492" s="3"/>
      <c r="V492" s="2"/>
      <c r="W492" s="2"/>
      <c r="Y492" s="2"/>
      <c r="Z492" s="2"/>
      <c r="AA492" s="2"/>
    </row>
    <row r="493" spans="1:27" x14ac:dyDescent="0.25">
      <c r="A493" s="3"/>
      <c r="B493" s="3"/>
      <c r="C493" s="3"/>
      <c r="E493" s="3"/>
      <c r="F493" s="3"/>
      <c r="G493" s="3"/>
      <c r="I493" s="3"/>
      <c r="J493" s="3"/>
      <c r="K493" s="3"/>
      <c r="M493" s="3"/>
      <c r="N493" s="3"/>
      <c r="O493" s="3"/>
      <c r="Q493" s="3"/>
      <c r="R493" s="3"/>
      <c r="S493" s="3"/>
      <c r="T493" s="3"/>
      <c r="U493" s="3"/>
      <c r="V493" s="2"/>
      <c r="W493" s="2"/>
      <c r="Y493" s="2"/>
      <c r="Z493" s="2"/>
      <c r="AA493" s="2"/>
    </row>
    <row r="494" spans="1:27" x14ac:dyDescent="0.25">
      <c r="A494" s="3"/>
      <c r="B494" s="3"/>
      <c r="C494" s="3"/>
      <c r="E494" s="3"/>
      <c r="F494" s="3"/>
      <c r="G494" s="3"/>
      <c r="I494" s="3"/>
      <c r="J494" s="3"/>
      <c r="K494" s="3"/>
      <c r="M494" s="3"/>
      <c r="N494" s="3"/>
      <c r="O494" s="3"/>
      <c r="Q494" s="3"/>
      <c r="R494" s="3"/>
      <c r="S494" s="3"/>
      <c r="T494" s="3"/>
      <c r="U494" s="3"/>
      <c r="V494" s="2"/>
      <c r="W494" s="2"/>
      <c r="Y494" s="2"/>
      <c r="Z494" s="2"/>
      <c r="AA494" s="2"/>
    </row>
    <row r="495" spans="1:27" x14ac:dyDescent="0.25">
      <c r="A495" s="3"/>
      <c r="B495" s="3"/>
      <c r="C495" s="3"/>
      <c r="E495" s="3"/>
      <c r="F495" s="3"/>
      <c r="G495" s="3"/>
      <c r="I495" s="3"/>
      <c r="J495" s="3"/>
      <c r="K495" s="3"/>
      <c r="M495" s="3"/>
      <c r="N495" s="3"/>
      <c r="O495" s="3"/>
      <c r="Q495" s="3"/>
      <c r="R495" s="3"/>
      <c r="S495" s="3"/>
      <c r="T495" s="3"/>
      <c r="U495" s="3"/>
      <c r="V495" s="2"/>
      <c r="W495" s="2"/>
      <c r="Y495" s="2"/>
      <c r="Z495" s="2"/>
      <c r="AA495" s="2"/>
    </row>
    <row r="496" spans="1:27" x14ac:dyDescent="0.25">
      <c r="A496" s="3"/>
      <c r="B496" s="3"/>
      <c r="C496" s="3"/>
      <c r="E496" s="3"/>
      <c r="F496" s="3"/>
      <c r="G496" s="3"/>
      <c r="I496" s="3"/>
      <c r="J496" s="3"/>
      <c r="K496" s="3"/>
      <c r="M496" s="3"/>
      <c r="N496" s="3"/>
      <c r="O496" s="3"/>
      <c r="Q496" s="3"/>
      <c r="R496" s="3"/>
      <c r="S496" s="3"/>
      <c r="T496" s="3"/>
      <c r="U496" s="3"/>
      <c r="V496" s="2"/>
      <c r="W496" s="2"/>
      <c r="Y496" s="2"/>
      <c r="Z496" s="2"/>
      <c r="AA496" s="2"/>
    </row>
    <row r="497" spans="1:27" x14ac:dyDescent="0.25">
      <c r="A497" s="3"/>
      <c r="B497" s="3"/>
      <c r="C497" s="3"/>
      <c r="E497" s="3"/>
      <c r="F497" s="3"/>
      <c r="G497" s="3"/>
      <c r="I497" s="3"/>
      <c r="J497" s="3"/>
      <c r="K497" s="3"/>
      <c r="M497" s="3"/>
      <c r="N497" s="3"/>
      <c r="O497" s="3"/>
      <c r="Q497" s="3"/>
      <c r="R497" s="3"/>
      <c r="S497" s="3"/>
      <c r="T497" s="3"/>
      <c r="U497" s="3"/>
      <c r="V497" s="2"/>
      <c r="W497" s="2"/>
      <c r="Y497" s="2"/>
      <c r="Z497" s="2"/>
      <c r="AA497" s="2"/>
    </row>
    <row r="498" spans="1:27" x14ac:dyDescent="0.25">
      <c r="A498" s="3"/>
      <c r="B498" s="3"/>
      <c r="C498" s="3"/>
      <c r="E498" s="3"/>
      <c r="F498" s="3"/>
      <c r="G498" s="3"/>
      <c r="I498" s="3"/>
      <c r="J498" s="3"/>
      <c r="K498" s="3"/>
      <c r="M498" s="3"/>
      <c r="N498" s="3"/>
      <c r="O498" s="3"/>
      <c r="Q498" s="3"/>
      <c r="R498" s="3"/>
      <c r="S498" s="3"/>
      <c r="T498" s="3"/>
      <c r="U498" s="3"/>
      <c r="V498" s="2"/>
      <c r="W498" s="2"/>
      <c r="Y498" s="2"/>
      <c r="Z498" s="2"/>
      <c r="AA498" s="2"/>
    </row>
    <row r="499" spans="1:27" x14ac:dyDescent="0.25">
      <c r="A499" s="3"/>
      <c r="B499" s="3"/>
      <c r="C499" s="3"/>
      <c r="E499" s="3"/>
      <c r="F499" s="3"/>
      <c r="G499" s="3"/>
      <c r="I499" s="3"/>
      <c r="J499" s="3"/>
      <c r="K499" s="3"/>
      <c r="M499" s="3"/>
      <c r="N499" s="3"/>
      <c r="O499" s="3"/>
      <c r="Q499" s="3"/>
      <c r="R499" s="3"/>
      <c r="S499" s="3"/>
      <c r="T499" s="3"/>
      <c r="U499" s="3"/>
      <c r="V499" s="2"/>
      <c r="W499" s="2"/>
      <c r="Y499" s="2"/>
      <c r="Z499" s="2"/>
      <c r="AA499" s="2"/>
    </row>
    <row r="500" spans="1:27" x14ac:dyDescent="0.25">
      <c r="A500" s="3"/>
      <c r="B500" s="3"/>
      <c r="C500" s="3"/>
      <c r="E500" s="3"/>
      <c r="F500" s="3"/>
      <c r="G500" s="3"/>
      <c r="I500" s="3"/>
      <c r="J500" s="3"/>
      <c r="K500" s="3"/>
      <c r="M500" s="3"/>
      <c r="N500" s="3"/>
      <c r="O500" s="3"/>
      <c r="Q500" s="3"/>
      <c r="R500" s="3"/>
      <c r="S500" s="3"/>
      <c r="T500" s="3"/>
      <c r="U500" s="3"/>
      <c r="V500" s="2"/>
      <c r="W500" s="2"/>
      <c r="Y500" s="2"/>
      <c r="Z500" s="2"/>
      <c r="AA500" s="2"/>
    </row>
    <row r="501" spans="1:27" x14ac:dyDescent="0.25">
      <c r="A501" s="3"/>
      <c r="B501" s="3"/>
      <c r="C501" s="3"/>
      <c r="E501" s="3"/>
      <c r="F501" s="3"/>
      <c r="G501" s="3"/>
      <c r="I501" s="3"/>
      <c r="J501" s="3"/>
      <c r="K501" s="3"/>
      <c r="M501" s="3"/>
      <c r="N501" s="3"/>
      <c r="O501" s="3"/>
      <c r="Q501" s="3"/>
      <c r="R501" s="3"/>
      <c r="S501" s="3"/>
      <c r="T501" s="3"/>
      <c r="U501" s="3"/>
      <c r="V501" s="2"/>
      <c r="W501" s="2"/>
      <c r="Y501" s="2"/>
      <c r="Z501" s="2"/>
      <c r="AA501" s="2"/>
    </row>
    <row r="502" spans="1:27" x14ac:dyDescent="0.25">
      <c r="A502" s="3"/>
      <c r="B502" s="3"/>
      <c r="C502" s="3"/>
      <c r="E502" s="3"/>
      <c r="F502" s="3"/>
      <c r="G502" s="3"/>
      <c r="I502" s="3"/>
      <c r="J502" s="3"/>
      <c r="K502" s="3"/>
      <c r="M502" s="3"/>
      <c r="N502" s="3"/>
      <c r="O502" s="3"/>
      <c r="Q502" s="3"/>
      <c r="R502" s="3"/>
      <c r="S502" s="3"/>
      <c r="T502" s="3"/>
      <c r="U502" s="3"/>
      <c r="V502" s="2"/>
      <c r="W502" s="2"/>
      <c r="Y502" s="2"/>
      <c r="Z502" s="2"/>
      <c r="AA502" s="2"/>
    </row>
    <row r="503" spans="1:27" x14ac:dyDescent="0.25">
      <c r="A503" s="3"/>
      <c r="B503" s="3"/>
      <c r="C503" s="3"/>
      <c r="E503" s="3"/>
      <c r="F503" s="3"/>
      <c r="G503" s="3"/>
      <c r="I503" s="3"/>
      <c r="J503" s="3"/>
      <c r="K503" s="3"/>
      <c r="M503" s="3"/>
      <c r="N503" s="3"/>
      <c r="O503" s="3"/>
      <c r="Q503" s="3"/>
      <c r="R503" s="3"/>
      <c r="S503" s="3"/>
      <c r="T503" s="3"/>
      <c r="U503" s="3"/>
      <c r="V503" s="2"/>
      <c r="W503" s="2"/>
      <c r="Y503" s="2"/>
      <c r="Z503" s="2"/>
      <c r="AA503" s="2"/>
    </row>
    <row r="504" spans="1:27" x14ac:dyDescent="0.25">
      <c r="A504" s="3"/>
      <c r="B504" s="3"/>
      <c r="C504" s="3"/>
      <c r="E504" s="3"/>
      <c r="F504" s="3"/>
      <c r="G504" s="3"/>
      <c r="I504" s="3"/>
      <c r="J504" s="3"/>
      <c r="K504" s="3"/>
      <c r="M504" s="3"/>
      <c r="N504" s="3"/>
      <c r="O504" s="3"/>
      <c r="Q504" s="3"/>
      <c r="R504" s="3"/>
      <c r="S504" s="3"/>
      <c r="T504" s="3"/>
      <c r="U504" s="3"/>
      <c r="V504" s="2"/>
      <c r="W504" s="2"/>
      <c r="Y504" s="2"/>
      <c r="Z504" s="2"/>
      <c r="AA504" s="2"/>
    </row>
    <row r="505" spans="1:27" x14ac:dyDescent="0.25">
      <c r="A505" s="3"/>
      <c r="B505" s="3"/>
      <c r="C505" s="3"/>
      <c r="E505" s="3"/>
      <c r="F505" s="3"/>
      <c r="G505" s="3"/>
      <c r="I505" s="3"/>
      <c r="J505" s="3"/>
      <c r="K505" s="3"/>
      <c r="M505" s="3"/>
      <c r="N505" s="3"/>
      <c r="O505" s="3"/>
      <c r="Q505" s="3"/>
      <c r="R505" s="3"/>
      <c r="S505" s="3"/>
      <c r="T505" s="3"/>
      <c r="U505" s="3"/>
      <c r="V505" s="2"/>
      <c r="W505" s="2"/>
      <c r="Y505" s="2"/>
      <c r="Z505" s="2"/>
      <c r="AA505" s="2"/>
    </row>
    <row r="506" spans="1:27" x14ac:dyDescent="0.25">
      <c r="A506" s="3"/>
      <c r="B506" s="3"/>
      <c r="C506" s="3"/>
      <c r="E506" s="3"/>
      <c r="F506" s="3"/>
      <c r="G506" s="3"/>
      <c r="I506" s="3"/>
      <c r="J506" s="3"/>
      <c r="K506" s="3"/>
      <c r="M506" s="3"/>
      <c r="N506" s="3"/>
      <c r="O506" s="3"/>
      <c r="Q506" s="3"/>
      <c r="R506" s="3"/>
      <c r="S506" s="3"/>
      <c r="T506" s="3"/>
      <c r="U506" s="3"/>
      <c r="V506" s="2"/>
      <c r="W506" s="2"/>
      <c r="Y506" s="2"/>
      <c r="Z506" s="2"/>
      <c r="AA506" s="2"/>
    </row>
    <row r="507" spans="1:27" x14ac:dyDescent="0.25">
      <c r="A507" s="3"/>
      <c r="B507" s="3"/>
      <c r="C507" s="3"/>
      <c r="E507" s="3"/>
      <c r="F507" s="3"/>
      <c r="G507" s="3"/>
      <c r="I507" s="3"/>
      <c r="J507" s="3"/>
      <c r="K507" s="3"/>
      <c r="M507" s="3"/>
      <c r="N507" s="3"/>
      <c r="O507" s="3"/>
      <c r="Q507" s="3"/>
      <c r="R507" s="3"/>
      <c r="S507" s="3"/>
      <c r="T507" s="3"/>
      <c r="U507" s="3"/>
      <c r="V507" s="2"/>
      <c r="W507" s="2"/>
      <c r="Y507" s="2"/>
      <c r="Z507" s="2"/>
      <c r="AA507" s="2"/>
    </row>
    <row r="508" spans="1:27" x14ac:dyDescent="0.25">
      <c r="A508" s="3"/>
      <c r="B508" s="3"/>
      <c r="C508" s="3"/>
      <c r="E508" s="3"/>
      <c r="F508" s="3"/>
      <c r="G508" s="3"/>
      <c r="I508" s="3"/>
      <c r="J508" s="3"/>
      <c r="K508" s="3"/>
      <c r="M508" s="3"/>
      <c r="N508" s="3"/>
      <c r="O508" s="3"/>
      <c r="Q508" s="3"/>
      <c r="R508" s="3"/>
      <c r="S508" s="3"/>
      <c r="T508" s="3"/>
      <c r="U508" s="3"/>
      <c r="V508" s="2"/>
      <c r="W508" s="2"/>
      <c r="Y508" s="2"/>
      <c r="Z508" s="2"/>
      <c r="AA508" s="2"/>
    </row>
    <row r="509" spans="1:27" x14ac:dyDescent="0.25">
      <c r="A509" s="3"/>
      <c r="B509" s="3"/>
      <c r="C509" s="3"/>
      <c r="E509" s="3"/>
      <c r="F509" s="3"/>
      <c r="G509" s="3"/>
      <c r="I509" s="3"/>
      <c r="J509" s="3"/>
      <c r="K509" s="3"/>
      <c r="M509" s="3"/>
      <c r="N509" s="3"/>
      <c r="O509" s="3"/>
      <c r="Q509" s="3"/>
      <c r="R509" s="3"/>
      <c r="S509" s="3"/>
      <c r="T509" s="3"/>
      <c r="U509" s="3"/>
      <c r="V509" s="2"/>
      <c r="W509" s="2"/>
      <c r="Y509" s="2"/>
      <c r="Z509" s="2"/>
      <c r="AA509" s="2"/>
    </row>
    <row r="510" spans="1:27" x14ac:dyDescent="0.25">
      <c r="A510" s="3"/>
      <c r="B510" s="3"/>
      <c r="C510" s="3"/>
      <c r="E510" s="3"/>
      <c r="F510" s="3"/>
      <c r="G510" s="3"/>
      <c r="I510" s="3"/>
      <c r="J510" s="3"/>
      <c r="K510" s="3"/>
      <c r="M510" s="3"/>
      <c r="N510" s="3"/>
      <c r="O510" s="3"/>
      <c r="Q510" s="3"/>
      <c r="R510" s="3"/>
      <c r="S510" s="3"/>
      <c r="T510" s="3"/>
      <c r="U510" s="3"/>
      <c r="V510" s="2"/>
      <c r="W510" s="2"/>
      <c r="Y510" s="2"/>
      <c r="Z510" s="2"/>
      <c r="AA510" s="2"/>
    </row>
    <row r="511" spans="1:27" x14ac:dyDescent="0.25">
      <c r="A511" s="3"/>
      <c r="B511" s="3"/>
      <c r="C511" s="3"/>
      <c r="E511" s="3"/>
      <c r="F511" s="3"/>
      <c r="G511" s="3"/>
      <c r="I511" s="3"/>
      <c r="J511" s="3"/>
      <c r="K511" s="3"/>
      <c r="M511" s="3"/>
      <c r="N511" s="3"/>
      <c r="O511" s="3"/>
      <c r="Q511" s="3"/>
      <c r="R511" s="3"/>
      <c r="S511" s="3"/>
      <c r="T511" s="3"/>
      <c r="U511" s="3"/>
      <c r="V511" s="2"/>
      <c r="W511" s="2"/>
      <c r="Y511" s="2"/>
      <c r="Z511" s="2"/>
      <c r="AA511" s="2"/>
    </row>
    <row r="512" spans="1:27" x14ac:dyDescent="0.25">
      <c r="A512" s="3"/>
      <c r="B512" s="3"/>
      <c r="C512" s="3"/>
      <c r="E512" s="3"/>
      <c r="F512" s="3"/>
      <c r="G512" s="3"/>
      <c r="I512" s="3"/>
      <c r="J512" s="3"/>
      <c r="K512" s="3"/>
      <c r="M512" s="3"/>
      <c r="N512" s="3"/>
      <c r="O512" s="3"/>
      <c r="Q512" s="3"/>
      <c r="R512" s="3"/>
      <c r="S512" s="3"/>
      <c r="T512" s="3"/>
      <c r="U512" s="3"/>
      <c r="V512" s="2"/>
      <c r="W512" s="2"/>
      <c r="Y512" s="2"/>
      <c r="Z512" s="2"/>
      <c r="AA512" s="2"/>
    </row>
    <row r="513" spans="1:27" x14ac:dyDescent="0.25">
      <c r="A513" s="3"/>
      <c r="B513" s="3"/>
      <c r="C513" s="3"/>
      <c r="E513" s="3"/>
      <c r="F513" s="3"/>
      <c r="G513" s="3"/>
      <c r="I513" s="3"/>
      <c r="J513" s="3"/>
      <c r="K513" s="3"/>
      <c r="M513" s="3"/>
      <c r="N513" s="3"/>
      <c r="O513" s="3"/>
      <c r="Q513" s="3"/>
      <c r="R513" s="3"/>
      <c r="S513" s="3"/>
      <c r="T513" s="3"/>
      <c r="U513" s="3"/>
      <c r="V513" s="2"/>
      <c r="W513" s="2"/>
      <c r="Y513" s="2"/>
      <c r="Z513" s="2"/>
      <c r="AA513" s="2"/>
    </row>
    <row r="514" spans="1:27" x14ac:dyDescent="0.25">
      <c r="A514" s="3"/>
      <c r="B514" s="3"/>
      <c r="C514" s="3"/>
      <c r="E514" s="3"/>
      <c r="F514" s="3"/>
      <c r="G514" s="3"/>
      <c r="I514" s="3"/>
      <c r="J514" s="3"/>
      <c r="K514" s="3"/>
      <c r="M514" s="3"/>
      <c r="N514" s="3"/>
      <c r="O514" s="3"/>
      <c r="Q514" s="3"/>
      <c r="R514" s="3"/>
      <c r="S514" s="3"/>
      <c r="T514" s="3"/>
      <c r="U514" s="3"/>
      <c r="V514" s="2"/>
      <c r="W514" s="2"/>
      <c r="Y514" s="2"/>
      <c r="Z514" s="2"/>
      <c r="AA514" s="2"/>
    </row>
    <row r="515" spans="1:27" x14ac:dyDescent="0.25">
      <c r="A515" s="3"/>
      <c r="B515" s="3"/>
      <c r="C515" s="3"/>
      <c r="E515" s="3"/>
      <c r="F515" s="3"/>
      <c r="G515" s="3"/>
      <c r="I515" s="3"/>
      <c r="J515" s="3"/>
      <c r="K515" s="3"/>
      <c r="M515" s="3"/>
      <c r="N515" s="3"/>
      <c r="O515" s="3"/>
      <c r="Q515" s="3"/>
      <c r="R515" s="3"/>
      <c r="S515" s="3"/>
      <c r="T515" s="3"/>
      <c r="U515" s="3"/>
      <c r="V515" s="2"/>
      <c r="W515" s="2"/>
      <c r="Y515" s="2"/>
      <c r="Z515" s="2"/>
      <c r="AA515" s="2"/>
    </row>
    <row r="516" spans="1:27" x14ac:dyDescent="0.25">
      <c r="A516" s="3"/>
      <c r="B516" s="3"/>
      <c r="C516" s="3"/>
      <c r="E516" s="3"/>
      <c r="F516" s="3"/>
      <c r="G516" s="3"/>
      <c r="I516" s="3"/>
      <c r="J516" s="3"/>
      <c r="K516" s="3"/>
      <c r="M516" s="3"/>
      <c r="N516" s="3"/>
      <c r="O516" s="3"/>
      <c r="Q516" s="3"/>
      <c r="R516" s="3"/>
      <c r="S516" s="3"/>
      <c r="T516" s="3"/>
      <c r="U516" s="3"/>
      <c r="V516" s="2"/>
      <c r="W516" s="2"/>
      <c r="Y516" s="2"/>
      <c r="Z516" s="2"/>
      <c r="AA516" s="2"/>
    </row>
    <row r="517" spans="1:27" x14ac:dyDescent="0.25">
      <c r="A517" s="3"/>
      <c r="B517" s="3"/>
      <c r="C517" s="3"/>
      <c r="E517" s="3"/>
      <c r="F517" s="3"/>
      <c r="G517" s="3"/>
      <c r="I517" s="3"/>
      <c r="J517" s="3"/>
      <c r="K517" s="3"/>
      <c r="M517" s="3"/>
      <c r="N517" s="3"/>
      <c r="O517" s="3"/>
      <c r="Q517" s="3"/>
      <c r="R517" s="3"/>
      <c r="S517" s="3"/>
      <c r="T517" s="3"/>
      <c r="U517" s="3"/>
      <c r="V517" s="2"/>
      <c r="W517" s="2"/>
      <c r="Y517" s="2"/>
      <c r="Z517" s="2"/>
      <c r="AA517" s="2"/>
    </row>
    <row r="518" spans="1:27" x14ac:dyDescent="0.25">
      <c r="A518" s="3"/>
      <c r="B518" s="3"/>
      <c r="C518" s="3"/>
      <c r="E518" s="3"/>
      <c r="F518" s="3"/>
      <c r="G518" s="3"/>
      <c r="I518" s="3"/>
      <c r="J518" s="3"/>
      <c r="K518" s="3"/>
      <c r="M518" s="3"/>
      <c r="N518" s="3"/>
      <c r="O518" s="3"/>
      <c r="Q518" s="3"/>
      <c r="R518" s="3"/>
      <c r="S518" s="3"/>
      <c r="T518" s="3"/>
      <c r="U518" s="3"/>
      <c r="V518" s="2"/>
      <c r="W518" s="2"/>
      <c r="Y518" s="2"/>
      <c r="Z518" s="2"/>
      <c r="AA518" s="2"/>
    </row>
    <row r="519" spans="1:27" x14ac:dyDescent="0.25">
      <c r="A519" s="3"/>
      <c r="B519" s="3"/>
      <c r="C519" s="3"/>
      <c r="E519" s="3"/>
      <c r="F519" s="3"/>
      <c r="G519" s="3"/>
      <c r="I519" s="3"/>
      <c r="J519" s="3"/>
      <c r="K519" s="3"/>
      <c r="M519" s="3"/>
      <c r="N519" s="3"/>
      <c r="O519" s="3"/>
      <c r="Q519" s="3"/>
      <c r="R519" s="3"/>
      <c r="S519" s="3"/>
      <c r="T519" s="3"/>
      <c r="U519" s="3"/>
      <c r="V519" s="2"/>
      <c r="W519" s="2"/>
      <c r="Y519" s="2"/>
      <c r="Z519" s="2"/>
      <c r="AA519" s="2"/>
    </row>
    <row r="520" spans="1:27" x14ac:dyDescent="0.25">
      <c r="A520" s="3"/>
      <c r="B520" s="3"/>
      <c r="C520" s="3"/>
      <c r="E520" s="3"/>
      <c r="F520" s="3"/>
      <c r="G520" s="3"/>
      <c r="I520" s="3"/>
      <c r="J520" s="3"/>
      <c r="K520" s="3"/>
      <c r="M520" s="3"/>
      <c r="N520" s="3"/>
      <c r="O520" s="3"/>
      <c r="Q520" s="3"/>
      <c r="R520" s="3"/>
      <c r="S520" s="3"/>
      <c r="T520" s="3"/>
      <c r="U520" s="3"/>
      <c r="V520" s="2"/>
      <c r="W520" s="2"/>
      <c r="Y520" s="2"/>
      <c r="Z520" s="2"/>
      <c r="AA520" s="2"/>
    </row>
  </sheetData>
  <mergeCells count="89">
    <mergeCell ref="BE6:BF6"/>
    <mergeCell ref="BI6:BJ6"/>
    <mergeCell ref="BM6:BN6"/>
    <mergeCell ref="BQ6:BR6"/>
    <mergeCell ref="BM4:BN4"/>
    <mergeCell ref="BQ4:BR4"/>
    <mergeCell ref="BE5:BF5"/>
    <mergeCell ref="BI5:BJ5"/>
    <mergeCell ref="BM5:BN5"/>
    <mergeCell ref="BQ5:BR5"/>
    <mergeCell ref="BM1:BO1"/>
    <mergeCell ref="BQ1:BS1"/>
    <mergeCell ref="BE3:BF3"/>
    <mergeCell ref="BI3:BJ3"/>
    <mergeCell ref="BM3:BN3"/>
    <mergeCell ref="BQ3:BR3"/>
    <mergeCell ref="AW5:AX5"/>
    <mergeCell ref="BA5:BB5"/>
    <mergeCell ref="BA1:BC1"/>
    <mergeCell ref="BE1:BG1"/>
    <mergeCell ref="BI1:BK1"/>
    <mergeCell ref="BE4:BF4"/>
    <mergeCell ref="BI4:BJ4"/>
    <mergeCell ref="AC5:AD5"/>
    <mergeCell ref="AG5:AH5"/>
    <mergeCell ref="AK5:AL5"/>
    <mergeCell ref="AO5:AP5"/>
    <mergeCell ref="AS5:AT5"/>
    <mergeCell ref="AW3:AX3"/>
    <mergeCell ref="BA3:BB3"/>
    <mergeCell ref="AC4:AD4"/>
    <mergeCell ref="AG4:AH4"/>
    <mergeCell ref="AK4:AL4"/>
    <mergeCell ref="AO4:AP4"/>
    <mergeCell ref="AS4:AT4"/>
    <mergeCell ref="AW4:AX4"/>
    <mergeCell ref="BA4:BB4"/>
    <mergeCell ref="AC3:AD3"/>
    <mergeCell ref="AG3:AH3"/>
    <mergeCell ref="AK3:AL3"/>
    <mergeCell ref="AO3:AP3"/>
    <mergeCell ref="AS3:AT3"/>
    <mergeCell ref="AW1:AY1"/>
    <mergeCell ref="AC2:AD2"/>
    <mergeCell ref="AG2:AH2"/>
    <mergeCell ref="AK2:AL2"/>
    <mergeCell ref="AO2:AP2"/>
    <mergeCell ref="AS2:AT2"/>
    <mergeCell ref="AW2:AX2"/>
    <mergeCell ref="BA2:BB2"/>
    <mergeCell ref="AC1:AE1"/>
    <mergeCell ref="AG1:AI1"/>
    <mergeCell ref="AK1:AM1"/>
    <mergeCell ref="AO1:AQ1"/>
    <mergeCell ref="AS1:AU1"/>
    <mergeCell ref="A4:B4"/>
    <mergeCell ref="A5:B5"/>
    <mergeCell ref="E5:F5"/>
    <mergeCell ref="I5:J5"/>
    <mergeCell ref="M5:N5"/>
    <mergeCell ref="M4:N4"/>
    <mergeCell ref="I4:J4"/>
    <mergeCell ref="Q5:R5"/>
    <mergeCell ref="U5:V5"/>
    <mergeCell ref="Y5:Z5"/>
    <mergeCell ref="Y3:Z3"/>
    <mergeCell ref="U3:V3"/>
    <mergeCell ref="Y4:Z4"/>
    <mergeCell ref="Q4:R4"/>
    <mergeCell ref="U4:V4"/>
    <mergeCell ref="Y2:Z2"/>
    <mergeCell ref="U2:V2"/>
    <mergeCell ref="Y1:AA1"/>
    <mergeCell ref="U1:W1"/>
    <mergeCell ref="Q3:R3"/>
    <mergeCell ref="M3:N3"/>
    <mergeCell ref="Q2:R2"/>
    <mergeCell ref="M2:N2"/>
    <mergeCell ref="Q1:S1"/>
    <mergeCell ref="M1:O1"/>
    <mergeCell ref="A3:B3"/>
    <mergeCell ref="A2:B2"/>
    <mergeCell ref="A1:C1"/>
    <mergeCell ref="I3:J3"/>
    <mergeCell ref="I2:J2"/>
    <mergeCell ref="I1:K1"/>
    <mergeCell ref="E3:F3"/>
    <mergeCell ref="E2:F2"/>
    <mergeCell ref="E1:G1"/>
  </mergeCells>
  <phoneticPr fontId="3" type="noConversion"/>
  <pageMargins left="0.7" right="0.7" top="0.75" bottom="0.75" header="0.3" footer="0.3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LDO_01~08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KK Just</cp:lastModifiedBy>
  <dcterms:modified xsi:type="dcterms:W3CDTF">2026-07-24T02:43:54Z</dcterms:modified>
</cp:coreProperties>
</file>